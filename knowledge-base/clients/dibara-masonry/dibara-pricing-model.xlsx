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hase0" sheetId="3" state="visible" r:id="rId5"/>
    <sheet name="Phase1" sheetId="4" state="visible" r:id="rId6"/>
    <sheet name="Phase2" sheetId="5" state="visible" r:id="rId7"/>
    <sheet name="ROI" sheetId="6" state="visible" r:id="rId8"/>
    <sheet name="TierLogi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<sst xmlns="http://schemas.openxmlformats.org/spreadsheetml/2006/main" count="305" uniqueCount="279">
  <si>
    <t xml:space="preserve">FRAMEWORK OPS — DIBARA MASONRY ENGAGEMENT MODEL</t>
  </si>
  <si>
    <t xml:space="preserve">Internal pricing/scoping tool. First-deal pricing: Service Hub bundled at $3,500, retainer month-to-month after Month 1. Yellow cells = inputs. Pessimistic throughout.</t>
  </si>
  <si>
    <t xml:space="preserve">TIER RECOMMENDATION</t>
  </si>
  <si>
    <t xml:space="preserve">Recommended Tier</t>
  </si>
  <si>
    <t xml:space="preserve">Go / No-Go / Wait</t>
  </si>
  <si>
    <t xml:space="preserve">ENGAGEMENT VALUE — THREE VIEWS</t>
  </si>
  <si>
    <t xml:space="preserve">Phase</t>
  </si>
  <si>
    <t xml:space="preserve">Investment</t>
  </si>
  <si>
    <t xml:space="preserve">Timeline</t>
  </si>
  <si>
    <t xml:space="preserve">Hours</t>
  </si>
  <si>
    <t xml:space="preserve">Notes</t>
  </si>
  <si>
    <t xml:space="preserve">Phase 0 — OPS Assessment</t>
  </si>
  <si>
    <t xml:space="preserve">Week 1–2</t>
  </si>
  <si>
    <t xml:space="preserve">Credits to Month 1</t>
  </si>
  <si>
    <t xml:space="preserve">Optional Phase — HubSpot Service Hub Build (optional)</t>
  </si>
  <si>
    <t xml:space="preserve">Week 3–8</t>
  </si>
  <si>
    <t xml:space="preserve">Fixed fee; bundled with retainer signing</t>
  </si>
  <si>
    <t xml:space="preserve">Phase 1 — Active Retainer (Month 1 only committed)</t>
  </si>
  <si>
    <t xml:space="preserve">Month 1</t>
  </si>
  <si>
    <t xml:space="preserve">$4K/mo, month-to-month thereafter</t>
  </si>
  <si>
    <t xml:space="preserve">Less: OPS Assessment credit</t>
  </si>
  <si>
    <t xml:space="preserve">TOTAL COMMITTED AT SIGNING</t>
  </si>
  <si>
    <t xml:space="preserve">+ Expected additional retainer (Phase 1 Months 2+)</t>
  </si>
  <si>
    <t xml:space="preserve">EXPECTED TOTAL ENGAGEMENT VALUE</t>
  </si>
  <si>
    <t xml:space="preserve">Best case (full 12-month retainer)</t>
  </si>
  <si>
    <t xml:space="preserve">Phase 1 + 12 mo retainer (no Phase 0 — credited)</t>
  </si>
  <si>
    <t xml:space="preserve">AFFORDABILITY CHECK</t>
  </si>
  <si>
    <t xml:space="preserve">Estimated monthly net profit</t>
  </si>
  <si>
    <t xml:space="preserve">Retainer ($4K) as % monthly net profit</t>
  </si>
  <si>
    <t xml:space="preserve">Status (15% threshold per CLAUDE.md)</t>
  </si>
  <si>
    <t xml:space="preserve">CONSERVATIVE ROI (vs. EXPECTED engagement cost)</t>
  </si>
  <si>
    <t xml:space="preserve">Year 1 conservative value creation (low)</t>
  </si>
  <si>
    <t xml:space="preserve">Year 1 conservative value creation (high)</t>
  </si>
  <si>
    <t xml:space="preserve">Expected engagement cost</t>
  </si>
  <si>
    <t xml:space="preserve">ROI multiple (low / expected cost)</t>
  </si>
  <si>
    <t xml:space="preserve">Months to payback (low case)</t>
  </si>
  <si>
    <t xml:space="preserve">INPUTS — DIBARA MASONRY</t>
  </si>
  <si>
    <t xml:space="preserve">Yellow cells are inputs (blue text). Adjust during discovery / intake. All downstream sheets recalculate.</t>
  </si>
  <si>
    <t xml:space="preserve">Company Financials</t>
  </si>
  <si>
    <t xml:space="preserve">Annual revenue (TTM)</t>
  </si>
  <si>
    <t xml:space="preserve">Stated $12M at discovery; confirm trailing 12 mo on intake</t>
  </si>
  <si>
    <t xml:space="preserve">Trade vertical</t>
  </si>
  <si>
    <t xml:space="preserve">Masonry/Concrete</t>
  </si>
  <si>
    <t xml:space="preserve">Specialty trade — adapt roofing/HVAC benchmarks directionally</t>
  </si>
  <si>
    <t xml:space="preserve">Gross margin % (estimated, pessimistic)</t>
  </si>
  <si>
    <t xml:space="preserve">Masonry industry: 25–35%. Using low end pending P&amp;L review.</t>
  </si>
  <si>
    <t xml:space="preserve">Net profit margin % (estimated)</t>
  </si>
  <si>
    <t xml:space="preserve">Specialty trade industry: 5–10%. Using mid pending P&amp;L review.</t>
  </si>
  <si>
    <t xml:space="preserve">Affordability Calcs (auto)</t>
  </si>
  <si>
    <t xml:space="preserve">Active retainer ($4K) as % monthly GP</t>
  </si>
  <si>
    <t xml:space="preserve">Active retainer ($4K) as % monthly NP</t>
  </si>
  <si>
    <t xml:space="preserve">Threshold: red flag if &gt;15% per CLAUDE.md</t>
  </si>
  <si>
    <t xml:space="preserve">Operating Snapshot (qualitative, drives scope)</t>
  </si>
  <si>
    <t xml:space="preserve">Job costing exists?</t>
  </si>
  <si>
    <t xml:space="preserve">No</t>
  </si>
  <si>
    <t xml:space="preserve">No per-job post-mortem mentioned</t>
  </si>
  <si>
    <t xml:space="preserve">Granular COGS by job/phase?</t>
  </si>
  <si>
    <t xml:space="preserve">Confirm during diagnostic</t>
  </si>
  <si>
    <t xml:space="preserve">Production-side CRM?</t>
  </si>
  <si>
    <t xml:space="preserve">Service Hub fills this gap</t>
  </si>
  <si>
    <t xml:space="preserve">Work order ownership defined?</t>
  </si>
  <si>
    <t xml:space="preserve">Subs ordering labor — structural risk</t>
  </si>
  <si>
    <t xml:space="preserve">Weekly financial review cadence?</t>
  </si>
  <si>
    <t xml:space="preserve">Yes</t>
  </si>
  <si>
    <t xml:space="preserve">Reactive only — upgrade to forward-looking</t>
  </si>
  <si>
    <t xml:space="preserve">HubSpot Marketing+Sales Hub being built?</t>
  </si>
  <si>
    <t xml:space="preserve">Yes (marketing agency)</t>
  </si>
  <si>
    <t xml:space="preserve">Stay out of their lane — own Service Hub only</t>
  </si>
  <si>
    <t xml:space="preserve">Sales/Production Headcount</t>
  </si>
  <si>
    <t xml:space="preserve">Inside sales manager</t>
  </si>
  <si>
    <t xml:space="preserve">Inside sales reps</t>
  </si>
  <si>
    <t xml:space="preserve">Field sales techs</t>
  </si>
  <si>
    <t xml:space="preserve">Production manager</t>
  </si>
  <si>
    <t xml:space="preserve">Project managers</t>
  </si>
  <si>
    <t xml:space="preserve">In-house crews (count)</t>
  </si>
  <si>
    <t xml:space="preserve">Headcount in HubSpot users (est.)</t>
  </si>
  <si>
    <t xml:space="preserve">Sales (6) + production manager + PM + ~2 office. Drives seat planning.</t>
  </si>
  <si>
    <t xml:space="preserve">Pricing Levers (tune for sensitivity testing)</t>
  </si>
  <si>
    <t xml:space="preserve">Phase 1 effective hourly rate</t>
  </si>
  <si>
    <t xml:space="preserve">Blended fractional COO rate $150–200/hr for $12M client</t>
  </si>
  <si>
    <t xml:space="preserve">Phase 1 contingency hours (scope buffer)</t>
  </si>
  <si>
    <t xml:space="preserve">10% buffer on scoped hours</t>
  </si>
  <si>
    <t xml:space="preserve">Implementation rate assumption (downside)</t>
  </si>
  <si>
    <t xml:space="preserve">Per CLAUDE.md: model 60–70% implementation, not 100%</t>
  </si>
  <si>
    <t xml:space="preserve">Margin recovery achievable (Year 1, conservative)</t>
  </si>
  <si>
    <t xml:space="preserve">2 points GP recovery from job costing visibility (low end)</t>
  </si>
  <si>
    <t xml:space="preserve">Margin recovery (Year 1, upside cap)</t>
  </si>
  <si>
    <t xml:space="preserve">4 points GP recovery (cap — not a promise)</t>
  </si>
  <si>
    <t xml:space="preserve">PHASE 0 — OPS ASSESSMENT ($997, GATEWAY DIAGNOSTIC)</t>
  </si>
  <si>
    <t xml:space="preserve">Week 1–2. Fixed price $997, credits to Phase 1 Month 1 retainer if signed ≤30 days. Preserves the 'no proposal without diagnostic' rule.</t>
  </si>
  <si>
    <t xml:space="preserve">Scope</t>
  </si>
  <si>
    <t xml:space="preserve">Activity</t>
  </si>
  <si>
    <t xml:space="preserve">Pre-diagnostic intake form (async, client completes)</t>
  </si>
  <si>
    <t xml:space="preserve">Client time, not Chance's</t>
  </si>
  <si>
    <t xml:space="preserve">Document review (P&amp;L, HubSpot config to date, org chart)</t>
  </si>
  <si>
    <t xml:space="preserve">Pre-meeting prep</t>
  </si>
  <si>
    <t xml:space="preserve">90-min operational diagnostic (live, owner + Matt)</t>
  </si>
  <si>
    <t xml:space="preserve">Recorded with consent</t>
  </si>
  <si>
    <t xml:space="preserve">Diagnostic write-up (4–6 page report)</t>
  </si>
  <si>
    <t xml:space="preserve">Per OPS Assessment SOP</t>
  </si>
  <si>
    <t xml:space="preserve">60-min debrief and roadmap call</t>
  </si>
  <si>
    <t xml:space="preserve">Walk owner through findings</t>
  </si>
  <si>
    <t xml:space="preserve">Buffer / follow-up Qs</t>
  </si>
  <si>
    <t xml:space="preserve">TOTAL HOURS</t>
  </si>
  <si>
    <t xml:space="preserve">FIXED PRICE</t>
  </si>
  <si>
    <t xml:space="preserve">Per service-tiers.md</t>
  </si>
  <si>
    <t xml:space="preserve">Outputs for Summary tab</t>
  </si>
  <si>
    <t xml:space="preserve">OPTIONAL PHASE — HUBSPOT SERVICE HUB BUILD (FIXED FEE)</t>
  </si>
  <si>
    <t xml:space="preserve">Total Hours</t>
  </si>
  <si>
    <t xml:space="preserve">Runs concurrent with Phase 1 in Month 1 if elected. Optional. Bundled fixed fee of $3,500 when paired with Phase 1 signing. Tightened scope: pipeline + core automations + basic dashboard + training. Knowledge base / customer portal / advanced reporting → into Phase 1 retainer hours.</t>
  </si>
  <si>
    <t xml:space="preserve">Fixed Fee</t>
  </si>
  <si>
    <t xml:space="preserve">Workstreams &amp; Hours</t>
  </si>
  <si>
    <t xml:space="preserve">Workstream</t>
  </si>
  <si>
    <t xml:space="preserve">Includes</t>
  </si>
  <si>
    <t xml:space="preserve">Discovery &amp; scoping with DiBara team + marketing agency lane-define</t>
  </si>
  <si>
    <t xml:space="preserve">Joint scoping call; document handoff boundaries</t>
  </si>
  <si>
    <t xml:space="preserve">Service Hub pipeline + ticket schema (job lifecycle)</t>
  </si>
  <si>
    <t xml:space="preserve">Won → scheduled → in-progress → punch list → closed</t>
  </si>
  <si>
    <t xml:space="preserve">Pipeline build (core fields, required gates)</t>
  </si>
  <si>
    <t xml:space="preserve">Production-side, not full custom; deeper config in retainer</t>
  </si>
  <si>
    <t xml:space="preserve">Core automations (2–3): Sales→Production handoff + customer ack + post-job review</t>
  </si>
  <si>
    <t xml:space="preserve">Additional automations built inside Phase 2 retainer hours</t>
  </si>
  <si>
    <t xml:space="preserve">Basic reporting dashboard (production manager view)</t>
  </si>
  <si>
    <t xml:space="preserve">Pipeline velocity + ticket aging only; advanced in retainer</t>
  </si>
  <si>
    <t xml:space="preserve">Training session (1) + recording</t>
  </si>
  <si>
    <t xml:space="preserve">Production manager + PM</t>
  </si>
  <si>
    <t xml:space="preserve">Documentation handoff</t>
  </si>
  <si>
    <t xml:space="preserve">Lightweight admin guide; expanded in retainer</t>
  </si>
  <si>
    <t xml:space="preserve">Scoped hours subtotal</t>
  </si>
  <si>
    <t xml:space="preserve">Contingency buffer</t>
  </si>
  <si>
    <t xml:space="preserve">From Inputs!C32</t>
  </si>
  <si>
    <t xml:space="preserve">Pricing</t>
  </si>
  <si>
    <t xml:space="preserve">Effective hourly rate</t>
  </si>
  <si>
    <t xml:space="preserve">Calculated price (hours × rate)</t>
  </si>
  <si>
    <t xml:space="preserve">FIXED FEE (rounded)</t>
  </si>
  <si>
    <t xml:space="preserve">Bundled with retainer signing. ~$140/hr effective on 25-hour scope. Standalone value ~$12,500.</t>
  </si>
  <si>
    <t xml:space="preserve">Sensitivity (alternate pricing scenarios)</t>
  </si>
  <si>
    <t xml:space="preserve">At $150/hr (low)</t>
  </si>
  <si>
    <t xml:space="preserve">Aggressive — minimum defensible</t>
  </si>
  <si>
    <t xml:space="preserve">At $175/hr (mid)</t>
  </si>
  <si>
    <t xml:space="preserve">Most likely range</t>
  </si>
  <si>
    <t xml:space="preserve">At $200/hr (high)</t>
  </si>
  <si>
    <t xml:space="preserve">Premium positioning</t>
  </si>
  <si>
    <t xml:space="preserve">Summary refs</t>
  </si>
  <si>
    <t xml:space="preserve">PHASE 1 — ACTIVE RETAINER ($4K/MO, MONTH-TO-MONTH)</t>
  </si>
  <si>
    <t xml:space="preserve">Month 1 committed: C23</t>
  </si>
  <si>
    <t xml:space="preserve">Per service-tiers.md Active tier: 15–20 hrs/mo, weekly 60-min sessions, full job costing install, KPI dashboard, 2–3 SOPs/mo, automation 1–2/quarter. Begins Month 1 (after Phase 0). NO minimum lock-in (first-deal pricing). Month-to-month after Month 1.</t>
  </si>
  <si>
    <t xml:space="preserve">Expected retainer value: F34</t>
  </si>
  <si>
    <t xml:space="preserve">Monthly Investment &amp; Total</t>
  </si>
  <si>
    <t xml:space="preserve">Monthly retainer</t>
  </si>
  <si>
    <t xml:space="preserve">Minimum commitment (months)</t>
  </si>
  <si>
    <t xml:space="preserve">Month 1 committed at signing. Month 2+ at DiBara's option.</t>
  </si>
  <si>
    <t xml:space="preserve">Hours/month (low end of Active range)</t>
  </si>
  <si>
    <t xml:space="preserve">Use low end for capacity planning (Chance's constraint)</t>
  </si>
  <si>
    <t xml:space="preserve">Hours/month (high end)</t>
  </si>
  <si>
    <t xml:space="preserve">Monthly Activity Allocation (low-end hours)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</si>
  <si>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</si>
  <si>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</si>
  <si>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</si>
  <si>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</si>
  <si>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</si>
  <si>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</si>
  <si>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Total</t>
  </si>
  <si>
    <t xml:space="preserve">Weekly working session (60 min × 4)</t>
  </si>
  <si>
    <t xml:space="preserve">Job costing install (process + tools)</t>
  </si>
  <si>
    <t xml:space="preserve">KPI dashboard build + review</t>
  </si>
  <si>
    <t xml:space="preserve">COGS structure rebuild in QBO</t>
  </si>
  <si>
    <t xml:space="preserve">SOP development (2/mo target)</t>
  </si>
  <si>
    <t xml:space="preserve">Automation build (quarterly)</t>
  </si>
  <si>
    <t xml:space="preserve">Async support + ad hoc</t>
  </si>
  <si>
    <t xml:space="preserve">Financial review cadence upgrade</t>
  </si>
  <si>
    <t xml:space="preserve">Monthly total hours</t>
  </si>
  <si>
    <t xml:space="preserve">Month 1 committed at signing</t>
  </si>
  <si>
    <t xml:space="preserve">Total Chance hours over 6 months</t>
  </si>
  <si>
    <t xml:space="preserve">Retainer Scenarios (Expected Value)</t>
  </si>
  <si>
    <t xml:space="preserve">Scenario</t>
  </si>
  <si>
    <t xml:space="preserve">Months</t>
  </si>
  <si>
    <t xml:space="preserve">Retainer Value</t>
  </si>
  <si>
    <t xml:space="preserve">Probability</t>
  </si>
  <si>
    <t xml:space="preserve">Weighted</t>
  </si>
  <si>
    <t xml:space="preserve">Pessimistic: churns Month 2</t>
  </si>
  <si>
    <t xml:space="preserve">Likely-low: 3 months</t>
  </si>
  <si>
    <t xml:space="preserve">Likely-mid: 5 months</t>
  </si>
  <si>
    <t xml:space="preserve">Likely-high: 8 months</t>
  </si>
  <si>
    <t xml:space="preserve">Best case: 12 months</t>
  </si>
  <si>
    <t xml:space="preserve">Probability check (should = 100%)</t>
  </si>
  <si>
    <t xml:space="preserve">EXPECTED RETAINER VALUE (probability-weighted)</t>
  </si>
  <si>
    <t xml:space="preserve">ROI — PESSIMISTIC CASE (PER CLAUDE.MD RULE)</t>
  </si>
  <si>
    <t xml:space="preserve">Conservative range only. Implementation rate downside-modeled at 60–70%. Year-1 cap, not aspirational. NO upside projections without downside alongside.</t>
  </si>
  <si>
    <t xml:space="preserve">Value Creation Drivers (Year 1)</t>
  </si>
  <si>
    <t xml:space="preserve">Driver</t>
  </si>
  <si>
    <t xml:space="preserve">Low ($)</t>
  </si>
  <si>
    <t xml:space="preserve">High ($)</t>
  </si>
  <si>
    <t xml:space="preserve">Assumption</t>
  </si>
  <si>
    <t xml:space="preserve">1. Gross margin recovery (job costing visibility)</t>
  </si>
  <si>
    <t xml:space="preserve">2–4 pts GP improvement × 65% implementation</t>
  </si>
  <si>
    <t xml:space="preserve">2. Reduced callback/handoff cost (Service Hub)</t>
  </si>
  <si>
    <t xml:space="preserve">0.3–0.8% of revenue saved from handoff errors × 65%</t>
  </si>
  <si>
    <t xml:space="preserve">3. Sub labor cost discipline (work order ownership)</t>
  </si>
  <si>
    <t xml:space="preserve">0.5–1.5% of revenue saved by removing sub labor leakage × 65%</t>
  </si>
  <si>
    <t xml:space="preserve">4. Owner time recapture → additional close/mo</t>
  </si>
  <si>
    <t xml:space="preserve">0 (downside) to 2% revenue uplift × GM × 65% — not promised</t>
  </si>
  <si>
    <t xml:space="preserve">5. Cash flow discipline (avoided LOC / late payment cost)</t>
  </si>
  <si>
    <t xml:space="preserve">0–$12K — depends on whether DiBara currently relies on LOC</t>
  </si>
  <si>
    <t xml:space="preserve">TOTAL CONSERVATIVE VALUE CREATION (YEAR 1)</t>
  </si>
  <si>
    <t xml:space="preserve">Year 1 engagement cost</t>
  </si>
  <si>
    <t xml:space="preserve">Net value creation</t>
  </si>
  <si>
    <t xml:space="preserve">ROI multiple</t>
  </si>
  <si>
    <t xml:space="preserve">Conservative value creation range (for Summary)</t>
  </si>
  <si>
    <t xml:space="preserve">Downside Disclosures (CLAUDE.md — never quote upside without downside)</t>
  </si>
  <si>
    <t xml:space="preserve">• Margin recovery requires DiBara team to actually execute on findings; ~30–40% of identified gaps will not be closed in Year 1.</t>
  </si>
  <si>
    <t xml:space="preserve">• Sub labor cost discipline requires changing how subs interact with the company — that is a 12–18 month change, not a 6-month one.</t>
  </si>
  <si>
    <t xml:space="preserve">• Owner time recapture only converts to revenue if owner redirects time to sales activity, not to other distractions. Behavioral risk.</t>
  </si>
  <si>
    <t xml:space="preserve">• Cash flow savings are only realized if DiBara currently has LOC dependency. If they don't, that line item is zero.</t>
  </si>
  <si>
    <t xml:space="preserve">• All margin math assumes current GM% holds steady on the existing book of business. If volume drops in 2026, these gains can be wiped out by overhead absorption issues.</t>
  </si>
  <si>
    <t xml:space="preserve">• Three-vendor coordination (marketing agency, Matt, Framework OPS) carries execution friction. Budget 10–15% of all timelines for cross-vendor lag.</t>
  </si>
  <si>
    <t xml:space="preserve">TIER DECISION LOGIC</t>
  </si>
  <si>
    <t xml:space="preserve">Reference: service-tiers.md. Why Active is the recommendation for DiBara — and what would push to Embedded.</t>
  </si>
  <si>
    <t xml:space="preserve">Tier Comparison</t>
  </si>
  <si>
    <t xml:space="preserve">Criterion</t>
  </si>
  <si>
    <t xml:space="preserve">Advisory</t>
  </si>
  <si>
    <t xml:space="preserve">Light</t>
  </si>
  <si>
    <t xml:space="preserve">Active (proposed)</t>
  </si>
  <si>
    <t xml:space="preserve">Embedded</t>
  </si>
  <si>
    <t xml:space="preserve">DiBara fit</t>
  </si>
  <si>
    <t xml:space="preserve">Monthly $</t>
  </si>
  <si>
    <t xml:space="preserve">$1,500</t>
  </si>
  <si>
    <t xml:space="preserve">$2,500</t>
  </si>
  <si>
    <t xml:space="preserve">$4,000</t>
  </si>
  <si>
    <t xml:space="preserve">$6,000</t>
  </si>
  <si>
    <t xml:space="preserve">Hours/mo</t>
  </si>
  <si>
    <t xml:space="preserve">4–6</t>
  </si>
  <si>
    <t xml:space="preserve">8–12</t>
  </si>
  <si>
    <t xml:space="preserve">15–20</t>
  </si>
  <si>
    <t xml:space="preserve">30–40</t>
  </si>
  <si>
    <t xml:space="preserve">Min term</t>
  </si>
  <si>
    <t xml:space="preserve">3 mo</t>
  </si>
  <si>
    <t xml:space="preserve">6 mo</t>
  </si>
  <si>
    <t xml:space="preserve">6–12 mo</t>
  </si>
  <si>
    <t xml:space="preserve">Target revenue</t>
  </si>
  <si>
    <t xml:space="preserve">Any</t>
  </si>
  <si>
    <t xml:space="preserve">$2–4M</t>
  </si>
  <si>
    <t xml:space="preserve">$3–10M</t>
  </si>
  <si>
    <t xml:space="preserve">$8–20M</t>
  </si>
  <si>
    <t xml:space="preserve">$12M (overlap Active/Embedded)</t>
  </si>
  <si>
    <t xml:space="preserve">KPI dashboard</t>
  </si>
  <si>
    <t xml:space="preserve">Review</t>
  </si>
  <si>
    <t xml:space="preserve">Build</t>
  </si>
  <si>
    <t xml:space="preserve">Required</t>
  </si>
  <si>
    <t xml:space="preserve">Job costing</t>
  </si>
  <si>
    <t xml:space="preserve">—</t>
  </si>
  <si>
    <t xml:space="preserve">SOPs/mo</t>
  </si>
  <si>
    <t xml:space="preserve">1</t>
  </si>
  <si>
    <t xml:space="preserve">2–3</t>
  </si>
  <si>
    <t xml:space="preserve">Library</t>
  </si>
  <si>
    <t xml:space="preserve">2–3 sufficient Year 1</t>
  </si>
  <si>
    <t xml:space="preserve">Automation/qtr</t>
  </si>
  <si>
    <t xml:space="preserve">1–2</t>
  </si>
  <si>
    <t xml:space="preserve">Monthly</t>
  </si>
  <si>
    <t xml:space="preserve">1–2 fits scope</t>
  </si>
  <si>
    <t xml:space="preserve">Manager coaching</t>
  </si>
  <si>
    <t xml:space="preserve">Optional</t>
  </si>
  <si>
    <t xml:space="preserve">Direct</t>
  </si>
  <si>
    <t xml:space="preserve">Optional initially</t>
  </si>
  <si>
    <t xml:space="preserve">On-site visits</t>
  </si>
  <si>
    <t xml:space="preserve">Day rate</t>
  </si>
  <si>
    <t xml:space="preserve">1–2/qtr incl.</t>
  </si>
  <si>
    <t xml:space="preserve">Day rate add-on if needed</t>
  </si>
  <si>
    <t xml:space="preserve">Why Active and not Embedded</t>
  </si>
  <si>
    <t xml:space="preserve">DiBara revenue ($12M) overlaps Active ($3–10M target) and Embedded ($8–20M target). The cleaner fit on revenue alone is Embedded.</t>
  </si>
  <si>
    <t xml:space="preserve">Three reasons to start with Active anyway:</t>
  </si>
  <si>
    <t xml:space="preserve">  1. Chance's capacity: solo founder + sitting COO. Embedded is 30–40 hrs/mo. Per CLAUDE.md: ~3 Active + 1 Embedded ceiling. Don't burn the Embedded slot on a Day-1 client.</t>
  </si>
  <si>
    <t xml:space="preserve">  2. Pre-diagnostic visibility: Embedded scope assumes proven need for monthly automation, direct manager coaching, quarterly on-sites. Until the diagnostic, that's a guess. Active is the lower-regret commitment.</t>
  </si>
  <si>
    <t xml:space="preserve">  3. Upgrade path: if Phase 0 diagnostic surfaces that Embedded is the right tier, the proposal explicitly allows scope-up. Easier to expand than to walk back.</t>
  </si>
  <si>
    <t xml:space="preserve">Triggers to revisit Embedded at Month 3 review:</t>
  </si>
  <si>
    <t xml:space="preserve">  • Owner explicitly wants Chance in the GM seat day-to-day (not just advising)</t>
  </si>
  <si>
    <t xml:space="preserve">  • Job costing rebuild reveals deeper financial-reporting overhaul required</t>
  </si>
  <si>
    <t xml:space="preserve">  • Production manager / PM need direct coaching, not just systems</t>
  </si>
  <si>
    <t xml:space="preserve">  • DiBara wants on-site presence monthly+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</si>
</sst>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"/>
    <numFmt numFmtId="167" formatCode="0"/>
    <numFmt numFmtId="168" formatCode="\$#,##0;&quot;($&quot;#,##0\);&quot;-&quot;&quot;"/>
    <numFmt numFmtId="169" formatCode="0.0%"/>
    <numFmt numFmtId="170" formatCode="0.0\x"/>
    <numFmt numFmtId="171" formatCode="0.0&quot; mo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i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A1628"/>
        <bgColor rgb="FF0F1E36"/>
      </patternFill>
    </fill>
    <fill>
      <patternFill patternType="solid">
        <fgColor rgb="FF0F1E36"/>
        <bgColor rgb="FF0A1628"/>
      </patternFill>
    </fill>
    <fill>
      <patternFill patternType="solid">
        <fgColor rgb="FF10B981"/>
        <bgColor rgb="FF33CCCC"/>
      </patternFill>
    </fill>
    <fill>
      <patternFill patternType="solid">
        <fgColor rgb="FFE2E8F0"/>
        <bgColor rgb="FFD1FAE5"/>
      </patternFill>
    </fill>
    <fill>
      <patternFill patternType="solid">
        <fgColor rgb="FFFFF4CC"/>
        <bgColor rgb="FFFEF3C7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FF4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4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EF3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1E36"/>
      <rgbColor rgb="FF10B981"/>
      <rgbColor rgb="FF0A1628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22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</row>
    <row r="3" customFormat="false" ht="24" hidden="false" customHeight="true" outlineLevel="0" collapsed="false">
      <c r="B3" s="3" t="s">
        <v>1</v>
      </c>
      <c r="C3" s="3"/>
      <c r="D3" s="3"/>
      <c r="E3" s="3"/>
      <c r="F3" s="3"/>
    </row>
    <row r="5" customFormat="false" ht="21.75" hidden="false" customHeight="true" outlineLevel="0" collapsed="false">
      <c r="B5" s="4" t="s">
        <v>2</v>
      </c>
      <c r="C5" s="4"/>
      <c r="D5" s="4"/>
      <c r="E5" s="4"/>
      <c r="F5" s="4"/>
    </row>
    <row r="6" customFormat="false" ht="27.75" hidden="false" customHeight="true" outlineLevel="0" collapsed="false">
      <c r="B6" s="5" t="s">
        <v>3</v>
      </c>
      <c r="C6" s="6" t="str">
        <f aca="false">IF(Inputs!C12&lt;0.15,IF(Inputs!C5&lt;=2000000,"Light ($2.5K/mo)",IF(Inputs!C5&lt;=8000000,"Active ($4K/mo)",IF(Inputs!C5&lt;=20000000,"Active ($4K/mo) — consider Embedded if scope expands","Embedded ($6K/mo)"))),"AFFORDABILITY FAIL — propose Sprint or Entry product only")</f>
        <v>Active ($4K/mo) — consider Embedded if scope expands</v>
      </c>
      <c r="D6" s="6"/>
      <c r="E6" s="6"/>
      <c r="F6" s="6"/>
    </row>
    <row r="7" customFormat="false" ht="15" hidden="false" customHeight="true" outlineLevel="0" collapsed="false">
      <c r="B7" s="5" t="s">
        <v>4</v>
      </c>
      <c r="C7" s="7" t="str">
        <f aca="false">IF(AND(Inputs!C5&gt;=2000000,Inputs!C5&lt;=20000000,Inputs!C12&lt;0.15),"GO — proposal track","WAIT — clarify intake before proposal")</f>
        <v>GO — proposal track</v>
      </c>
      <c r="D7" s="7"/>
      <c r="E7" s="7"/>
      <c r="F7" s="7"/>
    </row>
    <row r="9" customFormat="false" ht="21.75" hidden="false" customHeight="true" outlineLevel="0" collapsed="false">
      <c r="B9" s="4" t="s">
        <v>5</v>
      </c>
      <c r="C9" s="4"/>
      <c r="D9" s="4"/>
      <c r="E9" s="4"/>
      <c r="F9" s="4"/>
    </row>
    <row r="10" customFormat="false" ht="15" hidden="false" customHeight="true" outlineLevel="0" collapsed="false">
      <c r="B10" s="5" t="s">
        <v>6</v>
      </c>
      <c r="C10" s="8" t="s">
        <v>7</v>
      </c>
      <c r="D10" s="9" t="s">
        <v>8</v>
      </c>
      <c r="E10" s="9" t="s">
        <v>9</v>
      </c>
      <c r="F10" s="5" t="s">
        <v>10</v>
      </c>
    </row>
    <row r="11" customFormat="false" ht="15" hidden="false" customHeight="true" outlineLevel="0" collapsed="false">
      <c r="B11" s="10" t="s">
        <v>11</v>
      </c>
      <c r="C11" s="11" t="n">
        <f aca="false">Phase0!C13</f>
        <v>997</v>
      </c>
      <c r="D11" s="12" t="s">
        <v>12</v>
      </c>
      <c r="E11" s="13" t="n">
        <f aca="false">Phase0!C12</f>
        <v>9.5</v>
      </c>
      <c r="F11" s="14" t="s">
        <v>13</v>
      </c>
    </row>
    <row r="12" customFormat="false" ht="15" hidden="false" customHeight="true" outlineLevel="0" collapsed="false">
      <c r="B12" s="10" t="s">
        <v>14</v>
      </c>
      <c r="C12" s="11" t="n">
        <f aca="false">Phase1!G3</f>
        <v>3500</v>
      </c>
      <c r="D12" s="12" t="s">
        <v>15</v>
      </c>
      <c r="E12" s="13" t="n">
        <f aca="false">Phase1!G2</f>
        <v>3925</v>
      </c>
      <c r="F12" s="14" t="s">
        <v>16</v>
      </c>
    </row>
    <row r="13" customFormat="false" ht="15" hidden="false" customHeight="true" outlineLevel="0" collapsed="false">
      <c r="B13" s="10" t="s">
        <v>17</v>
      </c>
      <c r="C13" s="11" t="n">
        <f aca="false">Phase2!C23</f>
        <v>4000</v>
      </c>
      <c r="D13" s="12" t="s">
        <v>18</v>
      </c>
      <c r="E13" s="15" t="n">
        <v>15</v>
      </c>
      <c r="F13" s="14" t="s">
        <v>19</v>
      </c>
    </row>
    <row r="14" customFormat="false" ht="21.75" hidden="false" customHeight="true" outlineLevel="0" collapsed="false">
      <c r="B14" s="10" t="s">
        <v>20</v>
      </c>
      <c r="C14" s="16" t="n">
        <f aca="false">-Phase0!C13</f>
        <v>-997</v>
      </c>
      <c r="D14" s="17"/>
      <c r="E14" s="17"/>
      <c r="F14" s="17"/>
    </row>
    <row r="15" customFormat="false" ht="15" hidden="false" customHeight="true" outlineLevel="0" collapsed="false">
      <c r="B15" s="18" t="s">
        <v>21</v>
      </c>
      <c r="C15" s="19" t="n">
        <f aca="false">SUM(C11:C14)</f>
        <v>7500</v>
      </c>
      <c r="D15" s="17"/>
      <c r="E15" s="20"/>
      <c r="F15" s="17"/>
    </row>
    <row r="16" customFormat="false" ht="15" hidden="false" customHeight="true" outlineLevel="0" collapsed="false">
      <c r="B16" s="10" t="s">
        <v>22</v>
      </c>
      <c r="C16" s="21" t="n">
        <f aca="false">Phase2!F34-Phase2!C23</f>
        <v>13200</v>
      </c>
      <c r="D16" s="17"/>
      <c r="E16" s="17"/>
      <c r="F16" s="17"/>
    </row>
    <row r="17" customFormat="false" ht="21.75" hidden="false" customHeight="true" outlineLevel="0" collapsed="false">
      <c r="B17" s="22" t="s">
        <v>23</v>
      </c>
      <c r="C17" s="23" t="n">
        <f aca="false">C15+C16</f>
        <v>20700</v>
      </c>
      <c r="D17" s="17"/>
      <c r="E17" s="17"/>
      <c r="F17" s="17"/>
    </row>
    <row r="18" customFormat="false" ht="15" hidden="false" customHeight="true" outlineLevel="0" collapsed="false">
      <c r="B18" s="10" t="s">
        <v>24</v>
      </c>
      <c r="C18" s="21" t="n">
        <f aca="false">Phase1!G3+(Phase2!C6*12)</f>
        <v>51500</v>
      </c>
      <c r="D18" s="17"/>
      <c r="E18" s="17"/>
      <c r="F18" s="14" t="s">
        <v>25</v>
      </c>
    </row>
    <row r="19" customFormat="false" ht="15" hidden="false" customHeight="true" outlineLevel="0" collapsed="false">
      <c r="B19" s="17"/>
      <c r="C19" s="24"/>
      <c r="D19" s="17"/>
      <c r="E19" s="17"/>
      <c r="F19" s="17"/>
    </row>
    <row r="20" customFormat="false" ht="21.75" hidden="false" customHeight="true" outlineLevel="0" collapsed="false">
      <c r="B20" s="4" t="s">
        <v>26</v>
      </c>
      <c r="C20" s="4"/>
      <c r="D20" s="4"/>
      <c r="E20" s="4"/>
      <c r="F20" s="4"/>
    </row>
    <row r="21" customFormat="false" ht="15" hidden="false" customHeight="true" outlineLevel="0" collapsed="false">
      <c r="B21" s="5" t="s">
        <v>27</v>
      </c>
      <c r="C21" s="11" t="n">
        <f aca="false">Inputs!C5*Inputs!C8/12</f>
        <v>70000</v>
      </c>
      <c r="D21" s="17"/>
      <c r="E21" s="17"/>
      <c r="F21" s="17"/>
    </row>
    <row r="22" customFormat="false" ht="15" hidden="false" customHeight="true" outlineLevel="0" collapsed="false">
      <c r="B22" s="5" t="s">
        <v>28</v>
      </c>
      <c r="C22" s="25" t="n">
        <f aca="false">Inputs!C12</f>
        <v>0.0571428571428571</v>
      </c>
      <c r="D22" s="17"/>
      <c r="E22" s="17"/>
      <c r="F22" s="17"/>
    </row>
    <row r="23" customFormat="false" ht="15" hidden="false" customHeight="true" outlineLevel="0" collapsed="false">
      <c r="B23" s="5" t="s">
        <v>29</v>
      </c>
      <c r="C23" s="26" t="str">
        <f aca="false">IF(C22&lt;0.05,"GREEN — comfortable",IF(C22&lt;0.1,"YELLOW — fits",IF(C22&lt;0.15,"ORANGE — tight","RED — fails")))</f>
        <v>YELLOW — fits</v>
      </c>
      <c r="D23" s="17"/>
      <c r="E23" s="17"/>
      <c r="F23" s="17"/>
    </row>
    <row r="24" customFormat="false" ht="15" hidden="false" customHeight="true" outlineLevel="0" collapsed="false">
      <c r="B24" s="17"/>
      <c r="C24" s="17"/>
      <c r="D24" s="17"/>
      <c r="E24" s="17"/>
      <c r="F24" s="17"/>
    </row>
    <row r="25" customFormat="false" ht="21.75" hidden="false" customHeight="true" outlineLevel="0" collapsed="false">
      <c r="B25" s="4" t="s">
        <v>30</v>
      </c>
      <c r="C25" s="4"/>
      <c r="D25" s="4"/>
      <c r="E25" s="4"/>
      <c r="F25" s="4"/>
    </row>
    <row r="26" customFormat="false" ht="15" hidden="false" customHeight="true" outlineLevel="0" collapsed="false">
      <c r="B26" s="5" t="s">
        <v>31</v>
      </c>
      <c r="C26" s="11" t="n">
        <f aca="false">ROI!C18</f>
        <v>789600</v>
      </c>
      <c r="D26" s="17"/>
      <c r="E26" s="17"/>
      <c r="F26" s="17"/>
    </row>
    <row r="27" customFormat="false" ht="15" hidden="false" customHeight="true" outlineLevel="0" collapsed="false">
      <c r="B27" s="5" t="s">
        <v>32</v>
      </c>
      <c r="C27" s="11" t="n">
        <f aca="false">ROI!D18</f>
        <v>70320</v>
      </c>
      <c r="D27" s="17"/>
      <c r="E27" s="17"/>
      <c r="F27" s="17"/>
    </row>
    <row r="28" customFormat="false" ht="15" hidden="false" customHeight="true" outlineLevel="0" collapsed="false">
      <c r="B28" s="5" t="s">
        <v>33</v>
      </c>
      <c r="C28" s="21" t="n">
        <f aca="false">C17</f>
        <v>20700</v>
      </c>
      <c r="D28" s="17"/>
      <c r="E28" s="17"/>
      <c r="F28" s="17"/>
    </row>
    <row r="29" customFormat="false" ht="15" hidden="false" customHeight="true" outlineLevel="0" collapsed="false">
      <c r="B29" s="5" t="s">
        <v>34</v>
      </c>
      <c r="C29" s="27" t="n">
        <f aca="false">C26/C28</f>
        <v>38.1449275362319</v>
      </c>
      <c r="D29" s="17"/>
      <c r="E29" s="17"/>
      <c r="F29" s="17"/>
    </row>
    <row r="30" customFormat="false" ht="15" hidden="false" customHeight="true" outlineLevel="0" collapsed="false">
      <c r="B30" s="5" t="s">
        <v>35</v>
      </c>
      <c r="C30" s="28" t="n">
        <f aca="false">IFERROR(C28/(C26/12),"—")</f>
        <v>0.314589665653495</v>
      </c>
      <c r="D30" s="17"/>
      <c r="E30" s="17"/>
      <c r="F30" s="17"/>
    </row>
    <row r="31" customFormat="false" ht="15" hidden="false" customHeight="true" outlineLevel="0" collapsed="false">
      <c r="B31" s="17"/>
      <c r="C31" s="17"/>
      <c r="D31" s="17"/>
      <c r="E31" s="17"/>
      <c r="F31" s="17"/>
    </row>
    <row r="32" customFormat="false" ht="15" hidden="false" customHeight="true" outlineLevel="0" collapsed="false">
      <c r="B32" s="17"/>
      <c r="C32" s="17"/>
      <c r="D32" s="17"/>
      <c r="E32" s="17"/>
      <c r="F32" s="17"/>
    </row>
  </sheetData>
  <mergeCells count="8">
    <mergeCell ref="B2:F2"/>
    <mergeCell ref="B3:F3"/>
    <mergeCell ref="B5:F5"/>
    <mergeCell ref="C6:F6"/>
    <mergeCell ref="C7:F7"/>
    <mergeCell ref="B9:F9"/>
    <mergeCell ref="B20:F20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44"/>
  </cols>
  <sheetData>
    <row r="2" customFormat="false" ht="30" hidden="false" customHeight="true" outlineLevel="0" collapsed="false">
      <c r="B2" s="2" t="s">
        <v>36</v>
      </c>
      <c r="C2" s="2"/>
      <c r="D2" s="2"/>
    </row>
    <row r="3" customFormat="false" ht="21.75" hidden="false" customHeight="true" outlineLevel="0" collapsed="false">
      <c r="B3" s="3" t="s">
        <v>37</v>
      </c>
      <c r="C3" s="3"/>
      <c r="D3" s="3"/>
    </row>
    <row r="4" customFormat="false" ht="15" hidden="false" customHeight="true" outlineLevel="0" collapsed="false">
      <c r="B4" s="29" t="s">
        <v>38</v>
      </c>
      <c r="C4" s="29"/>
      <c r="D4" s="29"/>
    </row>
    <row r="5" customFormat="false" ht="15" hidden="false" customHeight="true" outlineLevel="0" collapsed="false">
      <c r="B5" s="5" t="s">
        <v>39</v>
      </c>
      <c r="C5" s="30" t="n">
        <v>12000000</v>
      </c>
      <c r="D5" s="14" t="s">
        <v>40</v>
      </c>
    </row>
    <row r="6" customFormat="false" ht="21.75" hidden="false" customHeight="true" outlineLevel="0" collapsed="false">
      <c r="B6" s="5" t="s">
        <v>41</v>
      </c>
      <c r="C6" s="31" t="s">
        <v>42</v>
      </c>
      <c r="D6" s="14" t="s">
        <v>43</v>
      </c>
    </row>
    <row r="7" customFormat="false" ht="21.75" hidden="false" customHeight="true" outlineLevel="0" collapsed="false">
      <c r="B7" s="5" t="s">
        <v>44</v>
      </c>
      <c r="C7" s="32" t="n">
        <v>0.28</v>
      </c>
      <c r="D7" s="14" t="s">
        <v>45</v>
      </c>
    </row>
    <row r="8" customFormat="false" ht="21.75" hidden="false" customHeight="true" outlineLevel="0" collapsed="false">
      <c r="B8" s="5" t="s">
        <v>46</v>
      </c>
      <c r="C8" s="32" t="n">
        <v>0.07</v>
      </c>
      <c r="D8" s="14" t="s">
        <v>47</v>
      </c>
    </row>
    <row r="10" customFormat="false" ht="15" hidden="false" customHeight="true" outlineLevel="0" collapsed="false">
      <c r="B10" s="29" t="s">
        <v>48</v>
      </c>
      <c r="C10" s="29"/>
      <c r="D10" s="29"/>
    </row>
    <row r="11" customFormat="false" ht="15" hidden="false" customHeight="true" outlineLevel="0" collapsed="false">
      <c r="B11" s="5" t="s">
        <v>49</v>
      </c>
      <c r="C11" s="33" t="n">
        <f aca="false">4000/(C5*C7/12)</f>
        <v>0.0142857142857143</v>
      </c>
    </row>
    <row r="12" customFormat="false" ht="15" hidden="false" customHeight="true" outlineLevel="0" collapsed="false">
      <c r="B12" s="5" t="s">
        <v>50</v>
      </c>
      <c r="C12" s="33" t="n">
        <f aca="false">4000/(C5*C8/12)</f>
        <v>0.0571428571428571</v>
      </c>
      <c r="D12" s="14" t="s">
        <v>51</v>
      </c>
    </row>
    <row r="14" customFormat="false" ht="15" hidden="false" customHeight="true" outlineLevel="0" collapsed="false">
      <c r="B14" s="29" t="s">
        <v>52</v>
      </c>
      <c r="C14" s="29"/>
      <c r="D14" s="29"/>
    </row>
    <row r="15" customFormat="false" ht="15" hidden="false" customHeight="true" outlineLevel="0" collapsed="false">
      <c r="B15" s="5" t="s">
        <v>53</v>
      </c>
      <c r="C15" s="31" t="s">
        <v>54</v>
      </c>
      <c r="D15" s="14" t="s">
        <v>55</v>
      </c>
    </row>
    <row r="16" customFormat="false" ht="15" hidden="false" customHeight="true" outlineLevel="0" collapsed="false">
      <c r="B16" s="5" t="s">
        <v>56</v>
      </c>
      <c r="C16" s="31" t="s">
        <v>54</v>
      </c>
      <c r="D16" s="14" t="s">
        <v>57</v>
      </c>
    </row>
    <row r="17" customFormat="false" ht="15" hidden="false" customHeight="true" outlineLevel="0" collapsed="false">
      <c r="B17" s="5" t="s">
        <v>58</v>
      </c>
      <c r="C17" s="31" t="s">
        <v>54</v>
      </c>
      <c r="D17" s="14" t="s">
        <v>59</v>
      </c>
    </row>
    <row r="18" customFormat="false" ht="15" hidden="false" customHeight="true" outlineLevel="0" collapsed="false">
      <c r="B18" s="5" t="s">
        <v>60</v>
      </c>
      <c r="C18" s="31" t="s">
        <v>54</v>
      </c>
      <c r="D18" s="14" t="s">
        <v>61</v>
      </c>
    </row>
    <row r="19" customFormat="false" ht="15" hidden="false" customHeight="true" outlineLevel="0" collapsed="false">
      <c r="B19" s="5" t="s">
        <v>62</v>
      </c>
      <c r="C19" s="31" t="s">
        <v>63</v>
      </c>
      <c r="D19" s="14" t="s">
        <v>64</v>
      </c>
    </row>
    <row r="20" customFormat="false" ht="15" hidden="false" customHeight="true" outlineLevel="0" collapsed="false">
      <c r="B20" s="5" t="s">
        <v>65</v>
      </c>
      <c r="C20" s="31" t="s">
        <v>66</v>
      </c>
      <c r="D20" s="14" t="s">
        <v>67</v>
      </c>
    </row>
    <row r="22" customFormat="false" ht="15" hidden="false" customHeight="true" outlineLevel="0" collapsed="false">
      <c r="B22" s="29" t="s">
        <v>68</v>
      </c>
      <c r="C22" s="29"/>
      <c r="D22" s="29"/>
    </row>
    <row r="23" customFormat="false" ht="15" hidden="false" customHeight="true" outlineLevel="0" collapsed="false">
      <c r="B23" s="5" t="s">
        <v>69</v>
      </c>
      <c r="C23" s="34" t="n">
        <v>1</v>
      </c>
    </row>
    <row r="24" customFormat="false" ht="15" hidden="false" customHeight="true" outlineLevel="0" collapsed="false">
      <c r="B24" s="5" t="s">
        <v>70</v>
      </c>
      <c r="C24" s="34" t="n">
        <v>3</v>
      </c>
    </row>
    <row r="25" customFormat="false" ht="15" hidden="false" customHeight="true" outlineLevel="0" collapsed="false">
      <c r="B25" s="5" t="s">
        <v>71</v>
      </c>
      <c r="C25" s="34" t="n">
        <v>2</v>
      </c>
    </row>
    <row r="26" customFormat="false" ht="15" hidden="false" customHeight="true" outlineLevel="0" collapsed="false">
      <c r="B26" s="5" t="s">
        <v>72</v>
      </c>
      <c r="C26" s="34" t="n">
        <v>1</v>
      </c>
    </row>
    <row r="27" customFormat="false" ht="15" hidden="false" customHeight="true" outlineLevel="0" collapsed="false">
      <c r="B27" s="5" t="s">
        <v>73</v>
      </c>
      <c r="C27" s="34" t="n">
        <v>1</v>
      </c>
    </row>
    <row r="28" customFormat="false" ht="21.75" hidden="false" customHeight="true" outlineLevel="0" collapsed="false">
      <c r="B28" s="5" t="s">
        <v>74</v>
      </c>
      <c r="C28" s="34" t="n">
        <v>2</v>
      </c>
    </row>
    <row r="29" customFormat="false" ht="21.75" hidden="false" customHeight="true" outlineLevel="0" collapsed="false">
      <c r="B29" s="5" t="s">
        <v>75</v>
      </c>
      <c r="C29" s="15" t="n">
        <f aca="false">C23+C24+C25+C26+C27+2</f>
        <v>10</v>
      </c>
      <c r="D29" s="14" t="s">
        <v>76</v>
      </c>
    </row>
    <row r="30" customFormat="false" ht="15" hidden="false" customHeight="true" outlineLevel="0" collapsed="false"/>
    <row r="31" customFormat="false" ht="15" hidden="false" customHeight="true" outlineLevel="0" collapsed="false">
      <c r="B31" s="29" t="s">
        <v>77</v>
      </c>
      <c r="C31" s="29"/>
      <c r="D31" s="29"/>
    </row>
    <row r="32" customFormat="false" ht="15" hidden="false" customHeight="true" outlineLevel="0" collapsed="false">
      <c r="B32" s="5" t="s">
        <v>78</v>
      </c>
      <c r="C32" s="35" t="n">
        <v>156</v>
      </c>
      <c r="D32" s="14" t="s">
        <v>79</v>
      </c>
    </row>
    <row r="33" customFormat="false" ht="21.75" hidden="false" customHeight="true" outlineLevel="0" collapsed="false">
      <c r="B33" s="5" t="s">
        <v>80</v>
      </c>
      <c r="C33" s="32" t="n">
        <v>0.1</v>
      </c>
      <c r="D33" s="14" t="s">
        <v>81</v>
      </c>
    </row>
    <row r="34" customFormat="false" ht="15" hidden="false" customHeight="true" outlineLevel="0" collapsed="false">
      <c r="B34" s="5" t="s">
        <v>82</v>
      </c>
      <c r="C34" s="32" t="n">
        <v>0.65</v>
      </c>
      <c r="D34" s="14" t="s">
        <v>83</v>
      </c>
    </row>
    <row r="35" customFormat="false" ht="15" hidden="false" customHeight="true" outlineLevel="0" collapsed="false">
      <c r="B35" s="5" t="s">
        <v>84</v>
      </c>
      <c r="C35" s="32" t="n">
        <v>0.02</v>
      </c>
      <c r="D35" s="14" t="s">
        <v>85</v>
      </c>
    </row>
    <row r="36" customFormat="false" ht="15" hidden="false" customHeight="true" outlineLevel="0" collapsed="false">
      <c r="B36" s="5" t="s">
        <v>86</v>
      </c>
      <c r="C36" s="32" t="n">
        <v>0.04</v>
      </c>
      <c r="D36" s="14" t="s">
        <v>87</v>
      </c>
    </row>
  </sheetData>
  <mergeCells count="7">
    <mergeCell ref="B2:D2"/>
    <mergeCell ref="B3:D3"/>
    <mergeCell ref="B4:D4"/>
    <mergeCell ref="B10:D10"/>
    <mergeCell ref="B14:D14"/>
    <mergeCell ref="B22:D22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50"/>
  </cols>
  <sheetData>
    <row r="2" customFormat="false" ht="30" hidden="false" customHeight="true" outlineLevel="0" collapsed="false">
      <c r="B2" s="2" t="s">
        <v>88</v>
      </c>
      <c r="C2" s="2"/>
      <c r="D2" s="2"/>
    </row>
    <row r="3" customFormat="false" ht="21.75" hidden="false" customHeight="true" outlineLevel="0" collapsed="false">
      <c r="B3" s="3" t="s">
        <v>89</v>
      </c>
      <c r="C3" s="3"/>
      <c r="D3" s="3"/>
    </row>
    <row r="4" customFormat="false" ht="15" hidden="false" customHeight="true" outlineLevel="0" collapsed="false">
      <c r="B4" s="29" t="s">
        <v>90</v>
      </c>
      <c r="C4" s="29"/>
      <c r="D4" s="29"/>
    </row>
    <row r="5" customFormat="false" ht="15" hidden="false" customHeight="true" outlineLevel="0" collapsed="false">
      <c r="B5" s="5" t="s">
        <v>91</v>
      </c>
      <c r="C5" s="36" t="s">
        <v>9</v>
      </c>
      <c r="D5" s="5" t="s">
        <v>10</v>
      </c>
    </row>
    <row r="6" customFormat="false" ht="15" hidden="false" customHeight="true" outlineLevel="0" collapsed="false">
      <c r="B6" s="10" t="s">
        <v>92</v>
      </c>
      <c r="C6" s="37" t="n">
        <v>0</v>
      </c>
      <c r="D6" s="14" t="s">
        <v>93</v>
      </c>
    </row>
    <row r="7" customFormat="false" ht="15" hidden="false" customHeight="true" outlineLevel="0" collapsed="false">
      <c r="B7" s="10" t="s">
        <v>94</v>
      </c>
      <c r="C7" s="37" t="n">
        <v>2</v>
      </c>
      <c r="D7" s="14" t="s">
        <v>95</v>
      </c>
    </row>
    <row r="8" customFormat="false" ht="15" hidden="false" customHeight="true" outlineLevel="0" collapsed="false">
      <c r="B8" s="10" t="s">
        <v>96</v>
      </c>
      <c r="C8" s="37" t="n">
        <v>1.5</v>
      </c>
      <c r="D8" s="14" t="s">
        <v>97</v>
      </c>
    </row>
    <row r="9" customFormat="false" ht="15" hidden="false" customHeight="true" outlineLevel="0" collapsed="false">
      <c r="B9" s="10" t="s">
        <v>98</v>
      </c>
      <c r="C9" s="37" t="n">
        <v>4</v>
      </c>
      <c r="D9" s="14" t="s">
        <v>99</v>
      </c>
    </row>
    <row r="10" customFormat="false" ht="15" hidden="false" customHeight="true" outlineLevel="0" collapsed="false">
      <c r="B10" s="10" t="s">
        <v>100</v>
      </c>
      <c r="C10" s="37" t="n">
        <v>1</v>
      </c>
      <c r="D10" s="14" t="s">
        <v>101</v>
      </c>
    </row>
    <row r="11" customFormat="false" ht="15" hidden="false" customHeight="true" outlineLevel="0" collapsed="false">
      <c r="B11" s="10" t="s">
        <v>102</v>
      </c>
      <c r="C11" s="37" t="n">
        <v>1</v>
      </c>
      <c r="D11" s="14"/>
    </row>
    <row r="12" customFormat="false" ht="15" hidden="false" customHeight="true" outlineLevel="0" collapsed="false">
      <c r="B12" s="38" t="s">
        <v>103</v>
      </c>
      <c r="C12" s="39" t="n">
        <f aca="false">SUM(C6:C11)</f>
        <v>9.5</v>
      </c>
    </row>
    <row r="13" customFormat="false" ht="15" hidden="false" customHeight="true" outlineLevel="0" collapsed="false">
      <c r="B13" s="40" t="s">
        <v>104</v>
      </c>
      <c r="C13" s="23" t="n">
        <v>997</v>
      </c>
      <c r="D13" s="14" t="s">
        <v>105</v>
      </c>
    </row>
  </sheetData>
  <mergeCells count="3">
    <mergeCell ref="B2:D2"/>
    <mergeCell ref="B3:D3"/>
    <mergeCell ref="B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50"/>
  </cols>
  <sheetData>
    <row r="1" customFormat="false" ht="15" hidden="false" customHeight="true" outlineLevel="0" collapsed="false">
      <c r="F1" s="41" t="s">
        <v>106</v>
      </c>
    </row>
    <row r="2" customFormat="false" ht="30" hidden="false" customHeight="true" outlineLevel="0" collapsed="false">
      <c r="B2" s="2" t="s">
        <v>107</v>
      </c>
      <c r="C2" s="2"/>
      <c r="D2" s="2"/>
      <c r="F2" s="1" t="s">
        <v>108</v>
      </c>
      <c r="G2" s="37" t="n">
        <f aca="false">C19</f>
        <v>3925</v>
      </c>
    </row>
    <row r="3" customFormat="false" ht="21.75" hidden="false" customHeight="true" outlineLevel="0" collapsed="false">
      <c r="B3" s="3" t="s">
        <v>109</v>
      </c>
      <c r="C3" s="3"/>
      <c r="D3" s="3"/>
      <c r="F3" s="1" t="s">
        <v>110</v>
      </c>
      <c r="G3" s="21" t="n">
        <f aca="false">C24</f>
        <v>3500</v>
      </c>
    </row>
    <row r="4" customFormat="false" ht="15" hidden="false" customHeight="true" outlineLevel="0" collapsed="false">
      <c r="B4" s="29" t="s">
        <v>111</v>
      </c>
      <c r="C4" s="29"/>
      <c r="D4" s="29"/>
    </row>
    <row r="5" customFormat="false" ht="15" hidden="false" customHeight="true" outlineLevel="0" collapsed="false">
      <c r="B5" s="5" t="s">
        <v>112</v>
      </c>
      <c r="C5" s="36" t="s">
        <v>9</v>
      </c>
      <c r="D5" s="5" t="s">
        <v>113</v>
      </c>
    </row>
    <row r="6" customFormat="false" ht="23.25" hidden="false" customHeight="true" outlineLevel="0" collapsed="false">
      <c r="B6" s="10" t="s">
        <v>114</v>
      </c>
      <c r="C6" s="37" t="n">
        <v>4</v>
      </c>
      <c r="D6" s="14" t="s">
        <v>115</v>
      </c>
    </row>
    <row r="7" customFormat="false" ht="21.75" hidden="false" customHeight="true" outlineLevel="0" collapsed="false">
      <c r="B7" s="10" t="s">
        <v>116</v>
      </c>
      <c r="C7" s="37" t="n">
        <v>4</v>
      </c>
      <c r="D7" s="14" t="s">
        <v>117</v>
      </c>
    </row>
    <row r="8" customFormat="false" ht="21.75" hidden="false" customHeight="true" outlineLevel="0" collapsed="false">
      <c r="B8" s="10" t="s">
        <v>118</v>
      </c>
      <c r="C8" s="37" t="n">
        <v>6</v>
      </c>
      <c r="D8" s="14" t="s">
        <v>119</v>
      </c>
    </row>
    <row r="9" customFormat="false" ht="21.75" hidden="false" customHeight="true" outlineLevel="0" collapsed="false">
      <c r="B9" s="10" t="s">
        <v>120</v>
      </c>
      <c r="C9" s="37" t="n">
        <v>4</v>
      </c>
      <c r="D9" s="14" t="s">
        <v>121</v>
      </c>
    </row>
    <row r="10" customFormat="false" ht="15" hidden="false" customHeight="true" outlineLevel="0" collapsed="false">
      <c r="B10" s="10" t="s">
        <v>122</v>
      </c>
      <c r="C10" s="37" t="n">
        <v>3</v>
      </c>
      <c r="D10" s="14" t="s">
        <v>123</v>
      </c>
    </row>
    <row r="11" customFormat="false" ht="15" hidden="false" customHeight="true" outlineLevel="0" collapsed="false">
      <c r="B11" s="10" t="s">
        <v>124</v>
      </c>
      <c r="C11" s="37" t="n">
        <v>2</v>
      </c>
      <c r="D11" s="14" t="s">
        <v>125</v>
      </c>
    </row>
    <row r="12" customFormat="false" ht="15" hidden="false" customHeight="true" outlineLevel="0" collapsed="false">
      <c r="B12" s="10" t="s">
        <v>126</v>
      </c>
      <c r="C12" s="37" t="n">
        <v>2</v>
      </c>
      <c r="D12" s="14" t="s">
        <v>127</v>
      </c>
    </row>
    <row r="13" customFormat="false" ht="21.75" hidden="false" customHeight="true" outlineLevel="0" collapsed="false">
      <c r="B13" s="10"/>
      <c r="C13" s="37"/>
      <c r="D13" s="14"/>
    </row>
    <row r="14" customFormat="false" ht="23.25" hidden="false" customHeight="true" outlineLevel="0" collapsed="false">
      <c r="B14" s="10"/>
      <c r="C14" s="37"/>
      <c r="D14" s="14"/>
    </row>
    <row r="15" customFormat="false" ht="15" hidden="false" customHeight="true" outlineLevel="0" collapsed="false">
      <c r="B15" s="10"/>
      <c r="C15" s="37"/>
      <c r="D15" s="14"/>
    </row>
    <row r="16" customFormat="false" ht="21.75" hidden="false" customHeight="true" outlineLevel="0" collapsed="false">
      <c r="B16" s="10"/>
      <c r="C16" s="37"/>
      <c r="D16" s="14"/>
    </row>
    <row r="17" customFormat="false" ht="15" hidden="false" customHeight="true" outlineLevel="0" collapsed="false">
      <c r="B17" s="42" t="s">
        <v>128</v>
      </c>
      <c r="C17" s="43" t="n">
        <f aca="false">SUM(C6:C16)</f>
        <v>25</v>
      </c>
    </row>
    <row r="18" customFormat="false" ht="15" hidden="false" customHeight="true" outlineLevel="0" collapsed="false">
      <c r="B18" s="10" t="s">
        <v>129</v>
      </c>
      <c r="C18" s="37" t="n">
        <f aca="false">C17*Inputs!C32</f>
        <v>3900</v>
      </c>
      <c r="D18" s="14" t="s">
        <v>130</v>
      </c>
    </row>
    <row r="19" customFormat="false" ht="15" hidden="false" customHeight="true" outlineLevel="0" collapsed="false">
      <c r="B19" s="44" t="s">
        <v>103</v>
      </c>
      <c r="C19" s="39" t="n">
        <f aca="false">C17+C18</f>
        <v>3925</v>
      </c>
    </row>
    <row r="21" customFormat="false" ht="15" hidden="false" customHeight="true" outlineLevel="0" collapsed="false">
      <c r="B21" s="29" t="s">
        <v>131</v>
      </c>
      <c r="C21" s="29"/>
      <c r="D21" s="29"/>
    </row>
    <row r="22" customFormat="false" ht="15" hidden="false" customHeight="true" outlineLevel="0" collapsed="false">
      <c r="B22" s="5" t="s">
        <v>132</v>
      </c>
      <c r="C22" s="11" t="n">
        <f aca="false">Inputs!C31</f>
        <v>0</v>
      </c>
    </row>
    <row r="23" customFormat="false" ht="15" hidden="false" customHeight="true" outlineLevel="0" collapsed="false">
      <c r="B23" s="5" t="s">
        <v>133</v>
      </c>
      <c r="C23" s="21" t="n">
        <f aca="false">C19*C22</f>
        <v>0</v>
      </c>
    </row>
    <row r="24" customFormat="false" ht="21.75" hidden="false" customHeight="true" outlineLevel="0" collapsed="false">
      <c r="B24" s="40" t="s">
        <v>134</v>
      </c>
      <c r="C24" s="23" t="n">
        <v>3500</v>
      </c>
      <c r="D24" s="14" t="s">
        <v>135</v>
      </c>
    </row>
    <row r="26" customFormat="false" ht="15" hidden="false" customHeight="true" outlineLevel="0" collapsed="false">
      <c r="B26" s="29" t="s">
        <v>136</v>
      </c>
      <c r="C26" s="29"/>
      <c r="D26" s="29"/>
    </row>
    <row r="27" customFormat="false" ht="15" hidden="false" customHeight="true" outlineLevel="0" collapsed="false">
      <c r="B27" s="10" t="s">
        <v>137</v>
      </c>
      <c r="C27" s="21" t="n">
        <f aca="false">C19*150</f>
        <v>588750</v>
      </c>
      <c r="D27" s="14" t="s">
        <v>138</v>
      </c>
    </row>
    <row r="28" customFormat="false" ht="15" hidden="false" customHeight="true" outlineLevel="0" collapsed="false">
      <c r="B28" s="10" t="s">
        <v>139</v>
      </c>
      <c r="C28" s="21" t="n">
        <f aca="false">C19*175</f>
        <v>686875</v>
      </c>
      <c r="D28" s="14" t="s">
        <v>140</v>
      </c>
    </row>
    <row r="29" customFormat="false" ht="15" hidden="false" customHeight="true" outlineLevel="0" collapsed="false">
      <c r="B29" s="10" t="s">
        <v>141</v>
      </c>
      <c r="C29" s="21" t="n">
        <f aca="false">C19*200</f>
        <v>785000</v>
      </c>
      <c r="D29" s="14" t="s">
        <v>142</v>
      </c>
    </row>
  </sheetData>
  <mergeCells count="5">
    <mergeCell ref="B2:D2"/>
    <mergeCell ref="B3:D3"/>
    <mergeCell ref="B4:D4"/>
    <mergeCell ref="B21:D21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9" min="4" style="1" width="12"/>
    <col collapsed="false" customWidth="true" hidden="false" outlineLevel="0" max="10" min="10" style="1" width="14"/>
  </cols>
  <sheetData>
    <row r="1" customFormat="false" ht="15" hidden="false" customHeight="true" outlineLevel="0" collapsed="false">
      <c r="L1" s="41" t="s">
        <v>143</v>
      </c>
    </row>
    <row r="2" customFormat="false" ht="30" hidden="false" customHeight="true" outlineLevel="0" collapsed="false">
      <c r="B2" s="2" t="s">
        <v>144</v>
      </c>
      <c r="C2" s="2"/>
      <c r="D2" s="2"/>
      <c r="E2" s="2"/>
      <c r="F2" s="2"/>
      <c r="G2" s="2"/>
      <c r="H2" s="2"/>
      <c r="I2" s="2"/>
      <c r="J2" s="2"/>
      <c r="L2" s="1" t="s">
        <v>145</v>
      </c>
    </row>
    <row r="3" customFormat="false" ht="21.75" hidden="false" customHeight="true" outlineLevel="0" collapsed="false">
      <c r="B3" s="3" t="s">
        <v>146</v>
      </c>
      <c r="C3" s="3"/>
      <c r="D3" s="3"/>
      <c r="E3" s="3"/>
      <c r="F3" s="3"/>
      <c r="G3" s="3"/>
      <c r="H3" s="3"/>
      <c r="I3" s="3"/>
      <c r="J3" s="3"/>
      <c r="L3" s="1" t="s">
        <v>147</v>
      </c>
    </row>
    <row r="5" customFormat="false" ht="15" hidden="false" customHeight="true" outlineLevel="0" collapsed="false">
      <c r="B5" s="29" t="s">
        <v>148</v>
      </c>
      <c r="C5" s="29"/>
      <c r="D5" s="29"/>
      <c r="E5" s="29"/>
      <c r="F5" s="29"/>
      <c r="G5" s="29"/>
      <c r="H5" s="29"/>
      <c r="I5" s="29"/>
      <c r="J5" s="29"/>
    </row>
    <row r="6" customFormat="false" ht="21.75" hidden="false" customHeight="true" outlineLevel="0" collapsed="false">
      <c r="B6" s="5" t="s">
        <v>149</v>
      </c>
      <c r="C6" s="35" t="n">
        <v>4000</v>
      </c>
      <c r="D6" s="14" t="s">
        <v>105</v>
      </c>
    </row>
    <row r="7" customFormat="false" ht="15" hidden="false" customHeight="true" outlineLevel="0" collapsed="false">
      <c r="B7" s="5" t="s">
        <v>150</v>
      </c>
      <c r="C7" s="34" t="n">
        <v>1</v>
      </c>
      <c r="D7" s="14" t="s">
        <v>151</v>
      </c>
    </row>
    <row r="8" customFormat="false" ht="53.25" hidden="false" customHeight="true" outlineLevel="0" collapsed="false">
      <c r="B8" s="5" t="s">
        <v>152</v>
      </c>
      <c r="C8" s="34" t="n">
        <v>15</v>
      </c>
      <c r="D8" s="14" t="s">
        <v>153</v>
      </c>
    </row>
    <row r="9" customFormat="false" ht="15" hidden="false" customHeight="true" outlineLevel="0" collapsed="false">
      <c r="B9" s="5" t="s">
        <v>154</v>
      </c>
      <c r="C9" s="34" t="n">
        <v>20</v>
      </c>
    </row>
    <row r="11" customFormat="false" ht="15" hidden="false" customHeight="true" outlineLevel="0" collapsed="false">
      <c r="B11" s="29" t="s">
        <v>155</v>
      </c>
      <c r="C11" s="29"/>
      <c r="D11" s="29"/>
      <c r="E11" s="29"/>
      <c r="F11" s="29"/>
      <c r="G11" s="29"/>
      <c r="H11" s="29"/>
      <c r="I11" s="29"/>
      <c r="J11" s="29"/>
    </row>
    <row r="12" customFormat="false" ht="15" hidden="false" customHeight="true" outlineLevel="0" collapsed="false">
      <c r="B12" s="5" t="s">
        <v>91</v>
      </c>
      <c r="D12" s="36" t="s">
        <v>156</v>
      </c>
      <c r="E12" s="36" t="s">
        <v>157</v>
      </c>
      <c r="F12" s="36" t="s">
        <v>158</v>
      </c>
      <c r="G12" s="36" t="s">
        <v>159</v>
      </c>
      <c r="H12" s="36" t="s">
        <v>160</v>
      </c>
      <c r="I12" s="36" t="s">
        <v>161</v>
      </c>
      <c r="J12" s="36" t="s">
        <v>162</v>
      </c>
    </row>
    <row r="13" customFormat="false" ht="15" hidden="false" customHeight="true" outlineLevel="0" collapsed="false">
      <c r="B13" s="10" t="s">
        <v>163</v>
      </c>
      <c r="D13" s="37" t="n">
        <v>4</v>
      </c>
      <c r="E13" s="37" t="n">
        <v>4</v>
      </c>
      <c r="F13" s="37" t="n">
        <v>4</v>
      </c>
      <c r="G13" s="37" t="n">
        <v>4</v>
      </c>
      <c r="H13" s="37" t="n">
        <v>4</v>
      </c>
      <c r="I13" s="37" t="n">
        <v>4</v>
      </c>
      <c r="J13" s="43" t="n">
        <f aca="false">SUM(D13:I13)</f>
        <v>24</v>
      </c>
    </row>
    <row r="14" customFormat="false" ht="15" hidden="false" customHeight="true" outlineLevel="0" collapsed="false">
      <c r="B14" s="10" t="s">
        <v>164</v>
      </c>
      <c r="D14" s="37" t="n">
        <v>4</v>
      </c>
      <c r="E14" s="37" t="n">
        <v>4</v>
      </c>
      <c r="F14" s="37" t="n">
        <v>3</v>
      </c>
      <c r="G14" s="37" t="n">
        <v>2</v>
      </c>
      <c r="H14" s="37" t="n">
        <v>1</v>
      </c>
      <c r="I14" s="37" t="n">
        <v>1</v>
      </c>
      <c r="J14" s="43" t="n">
        <f aca="false">SUM(D14:I14)</f>
        <v>15</v>
      </c>
    </row>
    <row r="15" customFormat="false" ht="15" hidden="false" customHeight="true" outlineLevel="0" collapsed="false">
      <c r="B15" s="10" t="s">
        <v>165</v>
      </c>
      <c r="D15" s="37" t="n">
        <v>3</v>
      </c>
      <c r="E15" s="37" t="n">
        <v>2</v>
      </c>
      <c r="F15" s="37" t="n">
        <v>2</v>
      </c>
      <c r="G15" s="37" t="n">
        <v>2</v>
      </c>
      <c r="H15" s="37" t="n">
        <v>2</v>
      </c>
      <c r="I15" s="37" t="n">
        <v>2</v>
      </c>
      <c r="J15" s="43" t="n">
        <f aca="false">SUM(D15:I15)</f>
        <v>13</v>
      </c>
    </row>
    <row r="16" customFormat="false" ht="15" hidden="false" customHeight="true" outlineLevel="0" collapsed="false">
      <c r="B16" s="10" t="s">
        <v>166</v>
      </c>
      <c r="D16" s="37" t="n">
        <v>2</v>
      </c>
      <c r="E16" s="37" t="n">
        <v>3</v>
      </c>
      <c r="F16" s="37" t="n">
        <v>2</v>
      </c>
      <c r="G16" s="37" t="n">
        <v>1</v>
      </c>
      <c r="H16" s="37" t="n">
        <v>0</v>
      </c>
      <c r="I16" s="37" t="n">
        <v>0</v>
      </c>
      <c r="J16" s="43" t="n">
        <f aca="false">SUM(D16:I16)</f>
        <v>8</v>
      </c>
    </row>
    <row r="17" customFormat="false" ht="15" hidden="false" customHeight="true" outlineLevel="0" collapsed="false">
      <c r="B17" s="10" t="s">
        <v>167</v>
      </c>
      <c r="D17" s="37" t="n">
        <v>1</v>
      </c>
      <c r="E17" s="37" t="n">
        <v>2</v>
      </c>
      <c r="F17" s="37" t="n">
        <v>3</v>
      </c>
      <c r="G17" s="37" t="n">
        <v>3</v>
      </c>
      <c r="H17" s="37" t="n">
        <v>3</v>
      </c>
      <c r="I17" s="37" t="n">
        <v>3</v>
      </c>
      <c r="J17" s="43" t="n">
        <f aca="false">SUM(D17:I17)</f>
        <v>15</v>
      </c>
    </row>
    <row r="18" customFormat="false" ht="15" hidden="false" customHeight="true" outlineLevel="0" collapsed="false">
      <c r="B18" s="10" t="s">
        <v>168</v>
      </c>
      <c r="D18" s="37" t="n">
        <v>0</v>
      </c>
      <c r="E18" s="37" t="n">
        <v>0</v>
      </c>
      <c r="F18" s="37" t="n">
        <v>0</v>
      </c>
      <c r="G18" s="37" t="n">
        <v>2</v>
      </c>
      <c r="H18" s="37" t="n">
        <v>2</v>
      </c>
      <c r="I18" s="37" t="n">
        <v>2</v>
      </c>
      <c r="J18" s="43" t="n">
        <f aca="false">SUM(D18:I18)</f>
        <v>6</v>
      </c>
    </row>
    <row r="19" customFormat="false" ht="15" hidden="false" customHeight="true" outlineLevel="0" collapsed="false">
      <c r="B19" s="10" t="s">
        <v>169</v>
      </c>
      <c r="D19" s="37" t="n">
        <v>1</v>
      </c>
      <c r="E19" s="37" t="n">
        <v>1</v>
      </c>
      <c r="F19" s="37" t="n">
        <v>1</v>
      </c>
      <c r="G19" s="37" t="n">
        <v>1</v>
      </c>
      <c r="H19" s="37" t="n">
        <v>1</v>
      </c>
      <c r="I19" s="37" t="n">
        <v>1</v>
      </c>
      <c r="J19" s="43" t="n">
        <f aca="false">SUM(D19:I19)</f>
        <v>6</v>
      </c>
    </row>
    <row r="20" customFormat="false" ht="15" hidden="false" customHeight="true" outlineLevel="0" collapsed="false">
      <c r="B20" s="10" t="s">
        <v>170</v>
      </c>
      <c r="D20" s="37" t="n">
        <v>0</v>
      </c>
      <c r="E20" s="37" t="n">
        <v>0</v>
      </c>
      <c r="F20" s="37" t="n">
        <v>0</v>
      </c>
      <c r="G20" s="37" t="n">
        <v>0</v>
      </c>
      <c r="H20" s="37" t="n">
        <v>2</v>
      </c>
      <c r="I20" s="37" t="n">
        <v>3</v>
      </c>
      <c r="J20" s="43" t="n">
        <f aca="false">SUM(D20:I20)</f>
        <v>5</v>
      </c>
    </row>
    <row r="21" customFormat="false" ht="15" hidden="false" customHeight="true" outlineLevel="0" collapsed="false">
      <c r="B21" s="38" t="s">
        <v>171</v>
      </c>
      <c r="D21" s="39" t="n">
        <f aca="false">SUM(D13:D20)</f>
        <v>15</v>
      </c>
      <c r="E21" s="39" t="n">
        <f aca="false">SUM(E13:E20)</f>
        <v>16</v>
      </c>
      <c r="F21" s="39" t="n">
        <f aca="false">SUM(F13:F20)</f>
        <v>15</v>
      </c>
      <c r="G21" s="39" t="n">
        <f aca="false">SUM(G13:G20)</f>
        <v>15</v>
      </c>
      <c r="H21" s="39" t="n">
        <f aca="false">SUM(H13:H20)</f>
        <v>15</v>
      </c>
      <c r="I21" s="39" t="n">
        <f aca="false">SUM(I13:I20)</f>
        <v>16</v>
      </c>
      <c r="J21" s="39" t="n">
        <f aca="false">SUM(D21:I21)</f>
        <v>92</v>
      </c>
    </row>
    <row r="23" customFormat="false" ht="15" hidden="false" customHeight="true" outlineLevel="0" collapsed="false">
      <c r="B23" s="45" t="s">
        <v>172</v>
      </c>
      <c r="C23" s="23" t="n">
        <f aca="false">C6*C7</f>
        <v>4000</v>
      </c>
    </row>
    <row r="24" customFormat="false" ht="15" hidden="false" customHeight="true" outlineLevel="0" collapsed="false">
      <c r="B24" s="42" t="s">
        <v>173</v>
      </c>
      <c r="C24" s="43" t="n">
        <f aca="false">J21</f>
        <v>92</v>
      </c>
    </row>
    <row r="26" customFormat="false" ht="15" hidden="false" customHeight="true" outlineLevel="0" collapsed="false">
      <c r="B26" s="46" t="s">
        <v>174</v>
      </c>
      <c r="C26" s="46"/>
      <c r="D26" s="46"/>
      <c r="E26" s="46"/>
      <c r="F26" s="46"/>
    </row>
    <row r="27" customFormat="false" ht="15" hidden="false" customHeight="true" outlineLevel="0" collapsed="false">
      <c r="B27" s="5" t="s">
        <v>175</v>
      </c>
      <c r="C27" s="8" t="s">
        <v>176</v>
      </c>
      <c r="D27" s="8" t="s">
        <v>177</v>
      </c>
      <c r="E27" s="8" t="s">
        <v>178</v>
      </c>
      <c r="F27" s="8" t="s">
        <v>179</v>
      </c>
    </row>
    <row r="28" customFormat="false" ht="15" hidden="false" customHeight="true" outlineLevel="0" collapsed="false">
      <c r="B28" s="10" t="s">
        <v>180</v>
      </c>
      <c r="C28" s="34" t="n">
        <v>1</v>
      </c>
      <c r="D28" s="21" t="n">
        <f aca="false">C28*$C$6</f>
        <v>4000</v>
      </c>
      <c r="E28" s="32" t="n">
        <v>0.2</v>
      </c>
      <c r="F28" s="21" t="n">
        <f aca="false">D28*E28</f>
        <v>800</v>
      </c>
    </row>
    <row r="29" customFormat="false" ht="15" hidden="false" customHeight="true" outlineLevel="0" collapsed="false">
      <c r="B29" s="10" t="s">
        <v>181</v>
      </c>
      <c r="C29" s="34" t="n">
        <v>3</v>
      </c>
      <c r="D29" s="21" t="n">
        <f aca="false">C29*$C$6</f>
        <v>12000</v>
      </c>
      <c r="E29" s="32" t="n">
        <v>0.35</v>
      </c>
      <c r="F29" s="21" t="n">
        <f aca="false">D29*E29</f>
        <v>4200</v>
      </c>
    </row>
    <row r="30" customFormat="false" ht="15" hidden="false" customHeight="true" outlineLevel="0" collapsed="false">
      <c r="B30" s="10" t="s">
        <v>182</v>
      </c>
      <c r="C30" s="34" t="n">
        <v>5</v>
      </c>
      <c r="D30" s="21" t="n">
        <f aca="false">C30*$C$6</f>
        <v>20000</v>
      </c>
      <c r="E30" s="32" t="n">
        <v>0.25</v>
      </c>
      <c r="F30" s="21" t="n">
        <f aca="false">D30*E30</f>
        <v>5000</v>
      </c>
    </row>
    <row r="31" customFormat="false" ht="15" hidden="false" customHeight="true" outlineLevel="0" collapsed="false">
      <c r="B31" s="10" t="s">
        <v>183</v>
      </c>
      <c r="C31" s="34" t="n">
        <v>8</v>
      </c>
      <c r="D31" s="21" t="n">
        <f aca="false">C31*$C$6</f>
        <v>32000</v>
      </c>
      <c r="E31" s="32" t="n">
        <v>0.15</v>
      </c>
      <c r="F31" s="21" t="n">
        <f aca="false">D31*E31</f>
        <v>4800</v>
      </c>
    </row>
    <row r="32" customFormat="false" ht="15" hidden="false" customHeight="true" outlineLevel="0" collapsed="false">
      <c r="B32" s="10" t="s">
        <v>184</v>
      </c>
      <c r="C32" s="34" t="n">
        <v>12</v>
      </c>
      <c r="D32" s="21" t="n">
        <f aca="false">C32*$C$6</f>
        <v>48000</v>
      </c>
      <c r="E32" s="32" t="n">
        <v>0.05</v>
      </c>
      <c r="F32" s="21" t="n">
        <f aca="false">D32*E32</f>
        <v>2400</v>
      </c>
    </row>
    <row r="33" customFormat="false" ht="15" hidden="false" customHeight="true" outlineLevel="0" collapsed="false">
      <c r="B33" s="5" t="s">
        <v>185</v>
      </c>
      <c r="E33" s="33" t="n">
        <f aca="false">SUM(E28:E32)</f>
        <v>1</v>
      </c>
    </row>
    <row r="34" customFormat="false" ht="15" hidden="false" customHeight="true" outlineLevel="0" collapsed="false">
      <c r="B34" s="40" t="s">
        <v>186</v>
      </c>
      <c r="F34" s="47" t="n">
        <f aca="false">SUM(F28:F32)</f>
        <v>17200</v>
      </c>
    </row>
  </sheetData>
  <mergeCells count="5">
    <mergeCell ref="B2:J2"/>
    <mergeCell ref="B3:J3"/>
    <mergeCell ref="B5:J5"/>
    <mergeCell ref="B11:J11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50"/>
    <col collapsed="false" customWidth="true" hidden="false" outlineLevel="0" max="4" min="3" style="1" width="16"/>
    <col collapsed="false" customWidth="true" hidden="false" outlineLevel="0" max="5" min="5" style="1" width="44"/>
  </cols>
  <sheetData>
    <row r="2" customFormat="false" ht="30" hidden="false" customHeight="true" outlineLevel="0" collapsed="false">
      <c r="B2" s="2" t="s">
        <v>187</v>
      </c>
      <c r="C2" s="2"/>
      <c r="D2" s="2"/>
      <c r="E2" s="2"/>
    </row>
    <row r="3" customFormat="false" ht="21.75" hidden="false" customHeight="true" outlineLevel="0" collapsed="false">
      <c r="B3" s="3" t="s">
        <v>188</v>
      </c>
      <c r="C3" s="3"/>
      <c r="D3" s="3"/>
      <c r="E3" s="3"/>
    </row>
    <row r="5" customFormat="false" ht="15" hidden="false" customHeight="true" outlineLevel="0" collapsed="false">
      <c r="B5" s="29" t="s">
        <v>189</v>
      </c>
      <c r="C5" s="29"/>
      <c r="D5" s="29"/>
      <c r="E5" s="29"/>
    </row>
    <row r="6" customFormat="false" ht="15" hidden="false" customHeight="true" outlineLevel="0" collapsed="false">
      <c r="B6" s="5" t="s">
        <v>190</v>
      </c>
      <c r="C6" s="48" t="s">
        <v>191</v>
      </c>
      <c r="D6" s="48" t="s">
        <v>192</v>
      </c>
      <c r="E6" s="5" t="s">
        <v>193</v>
      </c>
    </row>
    <row r="7" customFormat="false" ht="15" hidden="false" customHeight="true" outlineLevel="0" collapsed="false">
      <c r="B7" s="10" t="s">
        <v>194</v>
      </c>
      <c r="C7" s="21" t="n">
        <f aca="false">Inputs!C5*Inputs!C34*Inputs!C33</f>
        <v>780000</v>
      </c>
      <c r="D7" s="21" t="n">
        <f aca="false">Inputs!C5*Inputs!C35*Inputs!C33</f>
        <v>24000</v>
      </c>
      <c r="E7" s="14" t="s">
        <v>195</v>
      </c>
    </row>
    <row r="8" customFormat="false" ht="15" hidden="false" customHeight="true" outlineLevel="0" collapsed="false">
      <c r="B8" s="10" t="s">
        <v>196</v>
      </c>
      <c r="C8" s="21" t="n">
        <f aca="false">Inputs!C5*0.003*Inputs!C33</f>
        <v>3600</v>
      </c>
      <c r="D8" s="21" t="n">
        <f aca="false">Inputs!C5*0.008*Inputs!C33</f>
        <v>9600</v>
      </c>
      <c r="E8" s="14" t="s">
        <v>197</v>
      </c>
    </row>
    <row r="9" customFormat="false" ht="21.75" hidden="false" customHeight="true" outlineLevel="0" collapsed="false">
      <c r="B9" s="10" t="s">
        <v>198</v>
      </c>
      <c r="C9" s="21" t="n">
        <f aca="false">Inputs!C5*0.005*Inputs!C33</f>
        <v>6000</v>
      </c>
      <c r="D9" s="21" t="n">
        <f aca="false">Inputs!C5*0.015*Inputs!C33</f>
        <v>18000</v>
      </c>
      <c r="E9" s="14" t="s">
        <v>199</v>
      </c>
    </row>
    <row r="10" customFormat="false" ht="21.75" hidden="false" customHeight="true" outlineLevel="0" collapsed="false">
      <c r="B10" s="10" t="s">
        <v>200</v>
      </c>
      <c r="C10" s="21" t="n">
        <v>0</v>
      </c>
      <c r="D10" s="21" t="n">
        <f aca="false">Inputs!C5*0.02*Inputs!C7*Inputs!C33</f>
        <v>6720</v>
      </c>
      <c r="E10" s="14" t="s">
        <v>201</v>
      </c>
    </row>
    <row r="11" customFormat="false" ht="21.75" hidden="false" customHeight="true" outlineLevel="0" collapsed="false">
      <c r="B11" s="10" t="s">
        <v>202</v>
      </c>
      <c r="C11" s="21" t="n">
        <v>0</v>
      </c>
      <c r="D11" s="21" t="n">
        <v>12000</v>
      </c>
      <c r="E11" s="14" t="s">
        <v>203</v>
      </c>
    </row>
    <row r="13" customFormat="false" ht="15" hidden="false" customHeight="true" outlineLevel="0" collapsed="false">
      <c r="B13" s="44" t="s">
        <v>204</v>
      </c>
      <c r="C13" s="49" t="n">
        <f aca="false">SUM(C7:C11)</f>
        <v>789600</v>
      </c>
      <c r="D13" s="49" t="n">
        <f aca="false">SUM(D7:D11)</f>
        <v>70320</v>
      </c>
    </row>
    <row r="14" customFormat="false" ht="15" hidden="false" customHeight="true" outlineLevel="0" collapsed="false">
      <c r="B14" s="10" t="s">
        <v>205</v>
      </c>
      <c r="C14" s="11" t="n">
        <f aca="false">Summary!C17</f>
        <v>20700</v>
      </c>
      <c r="D14" s="11" t="n">
        <f aca="false">Summary!C17</f>
        <v>20700</v>
      </c>
    </row>
    <row r="15" customFormat="false" ht="15" hidden="false" customHeight="true" outlineLevel="0" collapsed="false">
      <c r="B15" s="10" t="s">
        <v>206</v>
      </c>
      <c r="C15" s="50" t="n">
        <f aca="false">C13-C14</f>
        <v>768900</v>
      </c>
      <c r="D15" s="50" t="n">
        <f aca="false">D13-D14</f>
        <v>49620</v>
      </c>
    </row>
    <row r="16" customFormat="false" ht="15" hidden="false" customHeight="true" outlineLevel="0" collapsed="false">
      <c r="B16" s="10" t="s">
        <v>207</v>
      </c>
      <c r="C16" s="51" t="n">
        <f aca="false">IFERROR(C13/C14,0)</f>
        <v>38.1449275362319</v>
      </c>
      <c r="D16" s="51" t="n">
        <f aca="false">IFERROR(D13/D14,0)</f>
        <v>3.39710144927536</v>
      </c>
    </row>
    <row r="18" customFormat="false" ht="15" hidden="false" customHeight="true" outlineLevel="0" collapsed="false">
      <c r="B18" s="52" t="s">
        <v>208</v>
      </c>
      <c r="C18" s="50" t="n">
        <f aca="false">C13</f>
        <v>789600</v>
      </c>
      <c r="D18" s="50" t="n">
        <f aca="false">D13</f>
        <v>70320</v>
      </c>
    </row>
    <row r="20" customFormat="false" ht="15" hidden="false" customHeight="true" outlineLevel="0" collapsed="false">
      <c r="B20" s="29" t="s">
        <v>209</v>
      </c>
      <c r="C20" s="29"/>
      <c r="D20" s="29"/>
      <c r="E20" s="29"/>
    </row>
    <row r="21" customFormat="false" ht="25.5" hidden="false" customHeight="true" outlineLevel="0" collapsed="false">
      <c r="B21" s="3" t="s">
        <v>210</v>
      </c>
      <c r="C21" s="3"/>
      <c r="D21" s="3"/>
      <c r="E21" s="3"/>
    </row>
    <row r="22" customFormat="false" ht="25.5" hidden="false" customHeight="true" outlineLevel="0" collapsed="false">
      <c r="B22" s="3" t="s">
        <v>211</v>
      </c>
      <c r="C22" s="3"/>
      <c r="D22" s="3"/>
      <c r="E22" s="3"/>
    </row>
    <row r="23" customFormat="false" ht="25.5" hidden="false" customHeight="true" outlineLevel="0" collapsed="false">
      <c r="B23" s="3" t="s">
        <v>212</v>
      </c>
      <c r="C23" s="3"/>
      <c r="D23" s="3"/>
      <c r="E23" s="3"/>
    </row>
    <row r="24" customFormat="false" ht="25.5" hidden="false" customHeight="true" outlineLevel="0" collapsed="false">
      <c r="B24" s="3" t="s">
        <v>213</v>
      </c>
      <c r="C24" s="3"/>
      <c r="D24" s="3"/>
      <c r="E24" s="3"/>
    </row>
    <row r="25" customFormat="false" ht="25.5" hidden="false" customHeight="true" outlineLevel="0" collapsed="false">
      <c r="B25" s="3" t="s">
        <v>214</v>
      </c>
      <c r="C25" s="3"/>
      <c r="D25" s="3"/>
      <c r="E25" s="3"/>
    </row>
    <row r="26" customFormat="false" ht="25.5" hidden="false" customHeight="true" outlineLevel="0" collapsed="false">
      <c r="B26" s="3" t="s">
        <v>215</v>
      </c>
      <c r="C26" s="3"/>
      <c r="D26" s="3"/>
      <c r="E26" s="3"/>
    </row>
  </sheetData>
  <mergeCells count="10">
    <mergeCell ref="B2:E2"/>
    <mergeCell ref="B3:E3"/>
    <mergeCell ref="B5:E5"/>
    <mergeCell ref="B20:E20"/>
    <mergeCell ref="B21:E21"/>
    <mergeCell ref="B22:E22"/>
    <mergeCell ref="B23:E23"/>
    <mergeCell ref="B24:E24"/>
    <mergeCell ref="B25:E25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7" min="3" style="1" width="18"/>
  </cols>
  <sheetData>
    <row r="2" customFormat="false" ht="30" hidden="false" customHeight="true" outlineLevel="0" collapsed="false">
      <c r="B2" s="2" t="s">
        <v>216</v>
      </c>
      <c r="C2" s="2"/>
      <c r="D2" s="2"/>
      <c r="E2" s="2"/>
      <c r="F2" s="2"/>
      <c r="G2" s="2"/>
    </row>
    <row r="3" customFormat="false" ht="21.75" hidden="false" customHeight="true" outlineLevel="0" collapsed="false">
      <c r="B3" s="3" t="s">
        <v>217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29" t="s">
        <v>218</v>
      </c>
      <c r="C5" s="29"/>
      <c r="D5" s="29"/>
      <c r="E5" s="29"/>
      <c r="F5" s="29"/>
      <c r="G5" s="29"/>
    </row>
    <row r="6" customFormat="false" ht="15" hidden="false" customHeight="true" outlineLevel="0" collapsed="false">
      <c r="B6" s="53" t="s">
        <v>219</v>
      </c>
      <c r="C6" s="53" t="s">
        <v>220</v>
      </c>
      <c r="D6" s="53" t="s">
        <v>221</v>
      </c>
      <c r="E6" s="53" t="s">
        <v>222</v>
      </c>
      <c r="F6" s="53" t="s">
        <v>223</v>
      </c>
      <c r="G6" s="53" t="s">
        <v>224</v>
      </c>
    </row>
    <row r="7" customFormat="false" ht="15" hidden="false" customHeight="true" outlineLevel="0" collapsed="false">
      <c r="B7" s="54" t="s">
        <v>225</v>
      </c>
      <c r="C7" s="55" t="s">
        <v>226</v>
      </c>
      <c r="D7" s="55" t="s">
        <v>227</v>
      </c>
      <c r="E7" s="56" t="s">
        <v>228</v>
      </c>
      <c r="F7" s="55" t="s">
        <v>229</v>
      </c>
      <c r="G7" s="57" t="s">
        <v>228</v>
      </c>
    </row>
    <row r="8" customFormat="false" ht="15" hidden="false" customHeight="true" outlineLevel="0" collapsed="false">
      <c r="B8" s="54" t="s">
        <v>230</v>
      </c>
      <c r="C8" s="55" t="s">
        <v>231</v>
      </c>
      <c r="D8" s="55" t="s">
        <v>232</v>
      </c>
      <c r="E8" s="56" t="s">
        <v>233</v>
      </c>
      <c r="F8" s="55" t="s">
        <v>234</v>
      </c>
      <c r="G8" s="57" t="s">
        <v>233</v>
      </c>
    </row>
    <row r="9" customFormat="false" ht="15" hidden="false" customHeight="true" outlineLevel="0" collapsed="false">
      <c r="B9" s="54" t="s">
        <v>235</v>
      </c>
      <c r="C9" s="55" t="s">
        <v>236</v>
      </c>
      <c r="D9" s="55" t="s">
        <v>236</v>
      </c>
      <c r="E9" s="56" t="s">
        <v>237</v>
      </c>
      <c r="F9" s="55" t="s">
        <v>238</v>
      </c>
      <c r="G9" s="57" t="s">
        <v>237</v>
      </c>
    </row>
    <row r="10" customFormat="false" ht="23.25" hidden="false" customHeight="true" outlineLevel="0" collapsed="false">
      <c r="B10" s="54" t="s">
        <v>239</v>
      </c>
      <c r="C10" s="55" t="s">
        <v>240</v>
      </c>
      <c r="D10" s="55" t="s">
        <v>241</v>
      </c>
      <c r="E10" s="56" t="s">
        <v>242</v>
      </c>
      <c r="F10" s="55" t="s">
        <v>243</v>
      </c>
      <c r="G10" s="57" t="s">
        <v>244</v>
      </c>
    </row>
    <row r="11" customFormat="false" ht="15" hidden="false" customHeight="true" outlineLevel="0" collapsed="false">
      <c r="B11" s="54" t="s">
        <v>245</v>
      </c>
      <c r="C11" s="55" t="s">
        <v>246</v>
      </c>
      <c r="D11" s="55" t="s">
        <v>247</v>
      </c>
      <c r="E11" s="56" t="s">
        <v>247</v>
      </c>
      <c r="F11" s="55" t="s">
        <v>247</v>
      </c>
      <c r="G11" s="57" t="s">
        <v>248</v>
      </c>
    </row>
    <row r="12" customFormat="false" ht="15" hidden="false" customHeight="true" outlineLevel="0" collapsed="false">
      <c r="B12" s="54" t="s">
        <v>249</v>
      </c>
      <c r="C12" s="55" t="s">
        <v>250</v>
      </c>
      <c r="D12" s="55" t="s">
        <v>250</v>
      </c>
      <c r="E12" s="56" t="s">
        <v>63</v>
      </c>
      <c r="F12" s="55" t="s">
        <v>63</v>
      </c>
      <c r="G12" s="57" t="s">
        <v>248</v>
      </c>
    </row>
    <row r="13" customFormat="false" ht="15" hidden="false" customHeight="true" outlineLevel="0" collapsed="false">
      <c r="B13" s="54" t="s">
        <v>251</v>
      </c>
      <c r="C13" s="55" t="s">
        <v>250</v>
      </c>
      <c r="D13" s="55" t="s">
        <v>252</v>
      </c>
      <c r="E13" s="56" t="s">
        <v>253</v>
      </c>
      <c r="F13" s="55" t="s">
        <v>254</v>
      </c>
      <c r="G13" s="57" t="s">
        <v>255</v>
      </c>
    </row>
    <row r="14" customFormat="false" ht="15" hidden="false" customHeight="true" outlineLevel="0" collapsed="false">
      <c r="B14" s="54" t="s">
        <v>256</v>
      </c>
      <c r="C14" s="55" t="s">
        <v>250</v>
      </c>
      <c r="D14" s="55" t="s">
        <v>252</v>
      </c>
      <c r="E14" s="56" t="s">
        <v>257</v>
      </c>
      <c r="F14" s="55" t="s">
        <v>258</v>
      </c>
      <c r="G14" s="57" t="s">
        <v>259</v>
      </c>
    </row>
    <row r="15" customFormat="false" ht="15" hidden="false" customHeight="true" outlineLevel="0" collapsed="false">
      <c r="B15" s="54" t="s">
        <v>260</v>
      </c>
      <c r="C15" s="55" t="s">
        <v>250</v>
      </c>
      <c r="D15" s="55" t="s">
        <v>250</v>
      </c>
      <c r="E15" s="56" t="s">
        <v>261</v>
      </c>
      <c r="F15" s="55" t="s">
        <v>262</v>
      </c>
      <c r="G15" s="57" t="s">
        <v>263</v>
      </c>
    </row>
    <row r="16" customFormat="false" ht="23.25" hidden="false" customHeight="true" outlineLevel="0" collapsed="false">
      <c r="B16" s="54" t="s">
        <v>264</v>
      </c>
      <c r="C16" s="55" t="s">
        <v>250</v>
      </c>
      <c r="D16" s="55" t="s">
        <v>250</v>
      </c>
      <c r="E16" s="56" t="s">
        <v>265</v>
      </c>
      <c r="F16" s="55" t="s">
        <v>266</v>
      </c>
      <c r="G16" s="57" t="s">
        <v>267</v>
      </c>
    </row>
    <row r="19" customFormat="false" ht="15" hidden="false" customHeight="true" outlineLevel="0" collapsed="false">
      <c r="B19" s="29" t="s">
        <v>268</v>
      </c>
      <c r="C19" s="29"/>
      <c r="D19" s="29"/>
      <c r="E19" s="29"/>
      <c r="F19" s="29"/>
      <c r="G19" s="29"/>
    </row>
    <row r="20" customFormat="false" ht="21.75" hidden="false" customHeight="true" outlineLevel="0" collapsed="false">
      <c r="B20" s="58" t="s">
        <v>269</v>
      </c>
      <c r="C20" s="58"/>
      <c r="D20" s="58"/>
      <c r="E20" s="58"/>
      <c r="F20" s="58"/>
      <c r="G20" s="58"/>
    </row>
    <row r="21" customFormat="false" ht="21.75" hidden="false" customHeight="true" outlineLevel="0" collapsed="false">
      <c r="B21" s="58" t="s">
        <v>270</v>
      </c>
      <c r="C21" s="58"/>
      <c r="D21" s="58"/>
      <c r="E21" s="58"/>
      <c r="F21" s="58"/>
      <c r="G21" s="58"/>
    </row>
    <row r="22" customFormat="false" ht="21.75" hidden="false" customHeight="true" outlineLevel="0" collapsed="false">
      <c r="B22" s="58" t="s">
        <v>271</v>
      </c>
      <c r="C22" s="58"/>
      <c r="D22" s="58"/>
      <c r="E22" s="58"/>
      <c r="F22" s="58"/>
      <c r="G22" s="58"/>
    </row>
    <row r="23" customFormat="false" ht="21.75" hidden="false" customHeight="true" outlineLevel="0" collapsed="false">
      <c r="B23" s="58" t="s">
        <v>272</v>
      </c>
      <c r="C23" s="58"/>
      <c r="D23" s="58"/>
      <c r="E23" s="58"/>
      <c r="F23" s="58"/>
      <c r="G23" s="58"/>
    </row>
    <row r="24" customFormat="false" ht="21.75" hidden="false" customHeight="true" outlineLevel="0" collapsed="false">
      <c r="B24" s="58" t="s">
        <v>273</v>
      </c>
      <c r="C24" s="58"/>
      <c r="D24" s="58"/>
      <c r="E24" s="58"/>
      <c r="F24" s="58"/>
      <c r="G24" s="58"/>
    </row>
    <row r="25" customFormat="false" ht="21.75" hidden="false" customHeight="true" outlineLevel="0" collapsed="false">
      <c r="B25" s="58" t="s">
        <v>274</v>
      </c>
      <c r="C25" s="58"/>
      <c r="D25" s="58"/>
      <c r="E25" s="58"/>
      <c r="F25" s="58"/>
      <c r="G25" s="58"/>
    </row>
    <row r="26" customFormat="false" ht="21.75" hidden="false" customHeight="true" outlineLevel="0" collapsed="false">
      <c r="B26" s="58" t="s">
        <v>275</v>
      </c>
      <c r="C26" s="58"/>
      <c r="D26" s="58"/>
      <c r="E26" s="58"/>
      <c r="F26" s="58"/>
      <c r="G26" s="58"/>
    </row>
    <row r="27" customFormat="false" ht="21.75" hidden="false" customHeight="true" outlineLevel="0" collapsed="false">
      <c r="B27" s="58" t="s">
        <v>276</v>
      </c>
      <c r="C27" s="58"/>
      <c r="D27" s="58"/>
      <c r="E27" s="58"/>
      <c r="F27" s="58"/>
      <c r="G27" s="58"/>
    </row>
    <row r="28" customFormat="false" ht="21.75" hidden="false" customHeight="true" outlineLevel="0" collapsed="false">
      <c r="B28" s="58" t="s">
        <v>277</v>
      </c>
      <c r="C28" s="58"/>
      <c r="D28" s="58"/>
      <c r="E28" s="58"/>
      <c r="F28" s="58"/>
      <c r="G28" s="58"/>
    </row>
    <row r="29" customFormat="false" ht="21.75" hidden="false" customHeight="true" outlineLevel="0" collapsed="false">
      <c r="B29" s="58" t="s">
        <v>278</v>
      </c>
      <c r="C29" s="58"/>
      <c r="D29" s="58"/>
      <c r="E29" s="58"/>
      <c r="F29" s="58"/>
      <c r="G29" s="58"/>
    </row>
  </sheetData>
  <mergeCells count="14">
    <mergeCell ref="B2:G2"/>
    <mergeCell ref="B3:G3"/>
    <mergeCell ref="B5:G5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2026-05-20T01:18:51Z</dcterms:created>
  <dc:creator>openpyxl</dc:creator>
  <dc:description/>
  <dc:language>en-US</dc:language>
  <cp:lastModifiedBy/>
  <dcterms:modified xsi:type="dcterms:W3CDTF">2026-05-20T02:05:28Z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