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Dashboard" sheetId="2" state="visible" r:id="rId4"/>
    <sheet name="Inputs" sheetId="3" state="visible" r:id="rId5"/>
    <sheet name="Capacity" sheetId="4" state="visible" r:id="rId6"/>
    <sheet name="MRR Ramp" sheetId="5" state="visible" r:id="rId7"/>
    <sheet name="Cash Flow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<sst xmlns="http://schemas.openxmlformats.org/spreadsheetml/2006/main" count="244" uniqueCount="217">
  <si>
    <t xml:space="preserve">Framework OPS — Solo Capacity &amp; Revenue Model</t>
  </si>
  <si>
    <t xml:space="preserve">Built: May 2026 | Purpose: Stress-test the path to $150K Framework OPS revenue by Dec 2027.</t>
  </si>
  <si>
    <t xml:space="preserve">How to use this model</t>
  </si>
  <si>
    <t xml:space="preserve">1. Inputs sheet</t>
  </si>
  <si>
    <t xml:space="preserve">All blue cells are levers you can change. Yellow fills mark the highest-impact inputs. Black formulas update automatically.</t>
  </si>
  <si>
    <t xml:space="preserve">2. Capacity sheet</t>
  </si>
  <si>
    <t xml:space="preserve">Shows how your weekly hours translate to delivery capacity, after automation and utilization adjustments. Tells you the theoretical maximum portfolio you can run solo.</t>
  </si>
  <si>
    <t xml:space="preserve">3. Portfolio Cap sheet</t>
  </si>
  <si>
    <t xml:space="preserve">Three preset scenarios (Active-heavy / Mixed / Embedded-dominant) plus your own custom mix. Shows annual revenue at each.</t>
  </si>
  <si>
    <t xml:space="preserve">4. MRR Ramp sheet</t>
  </si>
  <si>
    <t xml:space="preserve">Month-by-month forecast from May 2026 to Dec 2027. Enter the # of each retainer tier you expect each month. Outputs MRR, run-rate, and target gap.</t>
  </si>
  <si>
    <t xml:space="preserve">5. Cash Flow sheet</t>
  </si>
  <si>
    <t xml:space="preserve">Personal cash burn alongside Framework revenue. Models W-2 phase-out at the month you specify. POC threshold check flags whether you can responsibly leave the W-2.</t>
  </si>
  <si>
    <t xml:space="preserve">6. Dashboard sheet</t>
  </si>
  <si>
    <t xml:space="preserve">Top-line outputs: Dec 2027 MRR, run-rate, cumulative revenue, lowest cash balance, target hit / miss.</t>
  </si>
  <si>
    <t xml:space="preserve">Color conventions</t>
  </si>
  <si>
    <t xml:space="preserve">Blue text</t>
  </si>
  <si>
    <t xml:space="preserve">Hardcoded input — change this</t>
  </si>
  <si>
    <t xml:space="preserve">Black text</t>
  </si>
  <si>
    <t xml:space="preserve">Formula — do not edit directly</t>
  </si>
  <si>
    <t xml:space="preserve">Green text</t>
  </si>
  <si>
    <t xml:space="preserve">Pulled from another sheet</t>
  </si>
  <si>
    <t xml:space="preserve">Yellow background</t>
  </si>
  <si>
    <t xml:space="preserve">High-impact assumption — review carefully</t>
  </si>
  <si>
    <t xml:space="preserve">Green background</t>
  </si>
  <si>
    <t xml:space="preserve">Key output</t>
  </si>
  <si>
    <t xml:space="preserve">Orange background</t>
  </si>
  <si>
    <t xml:space="preserve">Warning / threshold not met</t>
  </si>
  <si>
    <t xml:space="preserve">Pessimism is the default.</t>
  </si>
  <si>
    <t xml:space="preserve">All defaults use the low end of benchmark ranges. Assumes 60–70% client implementation, 30% annual churn, sales cycles of 4–8 weeks. Run optimistic cases only after the pessimistic case clears.</t>
  </si>
  <si>
    <t xml:space="preserve">Dashboard — Key Outputs</t>
  </si>
  <si>
    <t xml:space="preserve">Top-line summary. All numbers pull from the working sheets.</t>
  </si>
  <si>
    <t xml:space="preserve">REVENUE</t>
  </si>
  <si>
    <t xml:space="preserve">Dec 2027 MRR</t>
  </si>
  <si>
    <t xml:space="preserve">Dec 2027 Annualized Run-rate</t>
  </si>
  <si>
    <t xml:space="preserve">Target ($150K)</t>
  </si>
  <si>
    <t xml:space="preserve">Run-rate as % of target</t>
  </si>
  <si>
    <t xml:space="preserve">Total revenue 2026 (May-Dec)</t>
  </si>
  <si>
    <t xml:space="preserve">Total revenue 2027 (full year)</t>
  </si>
  <si>
    <t xml:space="preserve">Cumulative revenue May 2026-Dec 2027</t>
  </si>
  <si>
    <t xml:space="preserve">CAPACITY</t>
  </si>
  <si>
    <t xml:space="preserve">Phase 2 monthly delivery capacity</t>
  </si>
  <si>
    <t xml:space="preserve">hrs/mo</t>
  </si>
  <si>
    <t xml:space="preserve">Dec 2027 hours used</t>
  </si>
  <si>
    <t xml:space="preserve">Dec 2027 capacity utilization</t>
  </si>
  <si>
    <t xml:space="preserve">Solo cap (Scenario B annual revenue)</t>
  </si>
  <si>
    <t xml:space="preserve">Target as % of solo cap</t>
  </si>
  <si>
    <t xml:space="preserve">CASH FLOW</t>
  </si>
  <si>
    <t xml:space="preserve">Final cash balance (Dec 2027)</t>
  </si>
  <si>
    <t xml:space="preserve">Lowest cash balance during period</t>
  </si>
  <si>
    <t xml:space="preserve">Month of lowest cash balance</t>
  </si>
  <si>
    <t xml:space="preserve">Months with negative cash delta</t>
  </si>
  <si>
    <t xml:space="preserve">Total cash burn (months with negative delta)</t>
  </si>
  <si>
    <t xml:space="preserve">POC THRESHOLD AT W-2 EXIT MONTH</t>
  </si>
  <si>
    <t xml:space="preserve">W-2 exit month</t>
  </si>
  <si>
    <t xml:space="preserve">Month label at exit</t>
  </si>
  <si>
    <t xml:space="preserve">MRR at exit month</t>
  </si>
  <si>
    <t xml:space="preserve">Required MRR for POC</t>
  </si>
  <si>
    <t xml:space="preserve">MRR threshold met?</t>
  </si>
  <si>
    <t xml:space="preserve">Cash at exit month</t>
  </si>
  <si>
    <t xml:space="preserve">Required cash reserves</t>
  </si>
  <si>
    <t xml:space="preserve">Cash threshold met?</t>
  </si>
  <si>
    <t xml:space="preserve">OVERALL: Safe to leave W-2?</t>
  </si>
  <si>
    <t xml:space="preserve">Inputs &amp; Assumptions</t>
  </si>
  <si>
    <t xml:space="preserve">Change blue cells. Yellow-highlighted inputs have the biggest impact on outputs.</t>
  </si>
  <si>
    <t xml:space="preserve">PRICING &amp; DELIVERY HOURS (per retainer tier)</t>
  </si>
  <si>
    <t xml:space="preserve">Tier</t>
  </si>
  <si>
    <t xml:space="preserve">Monthly fee</t>
  </si>
  <si>
    <t xml:space="preserve">Nominal hrs/mo</t>
  </si>
  <si>
    <t xml:space="preserve">Automation savings %</t>
  </si>
  <si>
    <t xml:space="preserve">Effective hrs/mo</t>
  </si>
  <si>
    <t xml:space="preserve">Advisory</t>
  </si>
  <si>
    <t xml:space="preserve">Light</t>
  </si>
  <si>
    <t xml:space="preserve">Active</t>
  </si>
  <si>
    <t xml:space="preserve">Embedded</t>
  </si>
  <si>
    <t xml:space="preserve">WEEKLY CAPACITY</t>
  </si>
  <si>
    <t xml:space="preserve">Phase 1: hours/week on Framework OPS</t>
  </si>
  <si>
    <t xml:space="preserve">While still on $8K/mo W-2</t>
  </si>
  <si>
    <t xml:space="preserve">Phase 2: hours/week on Framework OPS</t>
  </si>
  <si>
    <t xml:space="preserve">After W-2 phase-out</t>
  </si>
  <si>
    <t xml:space="preserve">Sales hours/week (always-on)</t>
  </si>
  <si>
    <t xml:space="preserve">LinkedIn, outreach, discovery calls. Cannot drop.</t>
  </si>
  <si>
    <t xml:space="preserve">Admin hours/week</t>
  </si>
  <si>
    <t xml:space="preserve">QBO, Mercury, scheduling, CRM, taxes</t>
  </si>
  <si>
    <t xml:space="preserve">Content hours/week</t>
  </si>
  <si>
    <t xml:space="preserve">LinkedIn posts, thought leadership, batched</t>
  </si>
  <si>
    <t xml:space="preserve">Business dev hours/week</t>
  </si>
  <si>
    <t xml:space="preserve">Learning, partnerships, strategic</t>
  </si>
  <si>
    <t xml:space="preserve">Working weeks per year</t>
  </si>
  <si>
    <t xml:space="preserve">Allows 4 weeks off across year</t>
  </si>
  <si>
    <t xml:space="preserve">Capacity utilization rate</t>
  </si>
  <si>
    <t xml:space="preserve">Realistic for solo — gaps, onboarding, off weeks</t>
  </si>
  <si>
    <t xml:space="preserve">CASH FLOW INPUTS</t>
  </si>
  <si>
    <t xml:space="preserve">Current W-2 monthly gross</t>
  </si>
  <si>
    <t xml:space="preserve">Roofing COO remote role</t>
  </si>
  <si>
    <t xml:space="preserve">W-2 exit month (1-20)</t>
  </si>
  <si>
    <t xml:space="preserve">Month 1=May 2026, Month 4=Aug 2026</t>
  </si>
  <si>
    <t xml:space="preserve">Personal monthly expenses</t>
  </si>
  <si>
    <t xml:space="preserve">All-in lifestyle cost — review carefully</t>
  </si>
  <si>
    <t xml:space="preserve">Healthcare cost (post W-2 only)</t>
  </si>
  <si>
    <t xml:space="preserve">Self-paid plan, single</t>
  </si>
  <si>
    <t xml:space="preserve">Framework OPS monthly opex</t>
  </si>
  <si>
    <t xml:space="preserve">Tools, software, accounting, LLC compliance</t>
  </si>
  <si>
    <t xml:space="preserve">Effective tax rate on net SE income</t>
  </si>
  <si>
    <t xml:space="preserve">Federal + SE tax + state estimate</t>
  </si>
  <si>
    <t xml:space="preserve">Effective tax rate on W-2</t>
  </si>
  <si>
    <t xml:space="preserve">Federal + state + FICA (your half)</t>
  </si>
  <si>
    <t xml:space="preserve">Starting cash reserves (May 2026)</t>
  </si>
  <si>
    <t xml:space="preserve">Liquid savings at model start</t>
  </si>
  <si>
    <t xml:space="preserve">SPRINT &amp; ASSESSMENT REVENUE (non-retainer)</t>
  </si>
  <si>
    <t xml:space="preserve">Avg paid OPS Assessments / month (steady state)</t>
  </si>
  <si>
    <t xml:space="preserve">$997 each — gateway product</t>
  </si>
  <si>
    <t xml:space="preserve">OPS Assessment price</t>
  </si>
  <si>
    <t xml:space="preserve">Avg sprints / quarter (steady state)</t>
  </si>
  <si>
    <t xml:space="preserve">SOP, Automation, or Roadmap sprints</t>
  </si>
  <si>
    <t xml:space="preserve">Avg sprint price</t>
  </si>
  <si>
    <t xml:space="preserve">Midpoint of $1.5K-$3.5K range</t>
  </si>
  <si>
    <t xml:space="preserve">Months until sprint/assessment revenue starts</t>
  </si>
  <si>
    <t xml:space="preserve">Initial ramp before first non-zero</t>
  </si>
  <si>
    <t xml:space="preserve">POC THRESHOLD (W-2 exit decision)</t>
  </si>
  <si>
    <t xml:space="preserve">Minimum MRR to leave W-2</t>
  </si>
  <si>
    <t xml:space="preserve">Per analysis: 2 Active or 1 Active + 1 Light</t>
  </si>
  <si>
    <t xml:space="preserve">Minimum months of personal expenses in cash</t>
  </si>
  <si>
    <t xml:space="preserve">6 months recommended</t>
  </si>
  <si>
    <t xml:space="preserve">Minimum retainers signed with 90+ days of payment history</t>
  </si>
  <si>
    <t xml:space="preserve">Validates the model, not just the close</t>
  </si>
  <si>
    <t xml:space="preserve">Capacity Model</t>
  </si>
  <si>
    <t xml:space="preserve">How weekly hours translate to delivery capacity and the theoretical solo revenue ceiling.</t>
  </si>
  <si>
    <t xml:space="preserve">WEEKLY HOURS BREAKDOWN</t>
  </si>
  <si>
    <t xml:space="preserve">Activity</t>
  </si>
  <si>
    <t xml:space="preserve">Phase 1 hrs/wk</t>
  </si>
  <si>
    <t xml:space="preserve">Phase 2 hrs/wk</t>
  </si>
  <si>
    <t xml:space="preserve">Notes</t>
  </si>
  <si>
    <t xml:space="preserve">Total available</t>
  </si>
  <si>
    <t xml:space="preserve">From Inputs sheet</t>
  </si>
  <si>
    <t xml:space="preserve">Less: Sales</t>
  </si>
  <si>
    <t xml:space="preserve">Always-on</t>
  </si>
  <si>
    <t xml:space="preserve">Less: Admin</t>
  </si>
  <si>
    <t xml:space="preserve">Less: Content</t>
  </si>
  <si>
    <t xml:space="preserve">Less: Business dev</t>
  </si>
  <si>
    <t xml:space="preserve">Nominal delivery hrs/wk</t>
  </si>
  <si>
    <t xml:space="preserve">Before utilization adjustment</t>
  </si>
  <si>
    <t xml:space="preserve">Adjusted delivery hrs/wk</t>
  </si>
  <si>
    <t xml:space="preserve">After utilization factor</t>
  </si>
  <si>
    <t xml:space="preserve">MONTHLY DELIVERY CAPACITY</t>
  </si>
  <si>
    <t xml:space="preserve">Phase 2 monthly delivery hours (steady state)</t>
  </si>
  <si>
    <t xml:space="preserve">hrs/month of billable delivery available after sales/admin/utilization</t>
  </si>
  <si>
    <t xml:space="preserve">MAX SOLO PORTFOLIO (theoretical)</t>
  </si>
  <si>
    <t xml:space="preserve">Scenario</t>
  </si>
  <si>
    <t xml:space="preserve">Portfolio mix</t>
  </si>
  <si>
    <t xml:space="preserve">Hours required</t>
  </si>
  <si>
    <t xml:space="preserve">Monthly MRR</t>
  </si>
  <si>
    <t xml:space="preserve">Annual retainer revenue</t>
  </si>
  <si>
    <t xml:space="preserve">Hours utilized</t>
  </si>
  <si>
    <t xml:space="preserve">A — Active-heavy</t>
  </si>
  <si>
    <t xml:space="preserve">6 Active + 1 Light</t>
  </si>
  <si>
    <t xml:space="preserve">B — Mixed (recommended)</t>
  </si>
  <si>
    <t xml:space="preserve">2 Embedded + 3 Active + 1 Light</t>
  </si>
  <si>
    <t xml:space="preserve">C — Embedded-dominant</t>
  </si>
  <si>
    <t xml:space="preserve">3 Embedded + 1 Active</t>
  </si>
  <si>
    <t xml:space="preserve">D — Target ($150K)</t>
  </si>
  <si>
    <t xml:space="preserve">1 Embedded + 1 Active + 1 Light</t>
  </si>
  <si>
    <t xml:space="preserve">SOLO CAP SUMMARY</t>
  </si>
  <si>
    <t xml:space="preserve">Sustainable solo cap (Scenario B revenue)</t>
  </si>
  <si>
    <t xml:space="preserve">Add ~$30-50K/yr in sprints &amp; assessments at the cap</t>
  </si>
  <si>
    <t xml:space="preserve">$150K target as % of solo cap</t>
  </si>
  <si>
    <t xml:space="preserve">Lower = more slack against churn and bad months</t>
  </si>
  <si>
    <t xml:space="preserve">MRR Ramp — May 2026 to Dec 2027</t>
  </si>
  <si>
    <t xml:space="preserve">Enter # of each retainer tier active per month (blue cells). All other cells calculate automatically.</t>
  </si>
  <si>
    <t xml:space="preserve">#</t>
  </si>
  <si>
    <t xml:space="preserve">Month</t>
  </si>
  <si>
    <t xml:space="preserve">Retainer MRR</t>
  </si>
  <si>
    <t xml:space="preserve">Sprint/Assess revenue</t>
  </si>
  <si>
    <t xml:space="preserve">Total revenue</t>
  </si>
  <si>
    <t xml:space="preserve">Cumulative revenue</t>
  </si>
  <si>
    <t xml:space="preserve">Annualized run-rate</t>
  </si>
  <si>
    <t xml:space="preserve">Hours used (delivery)</t>
  </si>
  <si>
    <t xml:space="preserve">Capacity %</t>
  </si>
  <si>
    <t xml:space="preserve">May 2026</t>
  </si>
  <si>
    <t xml:space="preserve">Jun 2026</t>
  </si>
  <si>
    <t xml:space="preserve">Jul 2026</t>
  </si>
  <si>
    <t xml:space="preserve">Aug 2026</t>
  </si>
  <si>
    <t xml:space="preserve">Sep 2026</t>
  </si>
  <si>
    <t xml:space="preserve">Oct 2026</t>
  </si>
  <si>
    <t xml:space="preserve">Nov 2026</t>
  </si>
  <si>
    <t xml:space="preserve">Dec 2026</t>
  </si>
  <si>
    <t xml:space="preserve">Jan 2027</t>
  </si>
  <si>
    <t xml:space="preserve">Feb 2027</t>
  </si>
  <si>
    <t xml:space="preserve">Mar 2027</t>
  </si>
  <si>
    <t xml:space="preserve">Apr 2027</t>
  </si>
  <si>
    <t xml:space="preserve">May 2027</t>
  </si>
  <si>
    <t xml:space="preserve">Jun 2027</t>
  </si>
  <si>
    <t xml:space="preserve">Jul 2027</t>
  </si>
  <si>
    <t xml:space="preserve">Aug 2027</t>
  </si>
  <si>
    <t xml:space="preserve">Sep 2027</t>
  </si>
  <si>
    <t xml:space="preserve">Oct 2027</t>
  </si>
  <si>
    <t xml:space="preserve">Nov 2027</t>
  </si>
  <si>
    <t xml:space="preserve">Dec 2027</t>
  </si>
  <si>
    <t xml:space="preserve">TOTAL / DEC 2027</t>
  </si>
  <si>
    <t xml:space="preserve">Target run-rate (annual)</t>
  </si>
  <si>
    <t xml:space="preserve">Dec 2027 run-rate</t>
  </si>
  <si>
    <t xml:space="preserve">Gap to target</t>
  </si>
  <si>
    <t xml:space="preserve">% of target</t>
  </si>
  <si>
    <t xml:space="preserve">Personal &amp; Business Cash Flow</t>
  </si>
  <si>
    <t xml:space="preserve">W-2 income drops at the W-2 exit month from Inputs. Healthcare cost activates the month after.</t>
  </si>
  <si>
    <t xml:space="preserve">Framework gross</t>
  </si>
  <si>
    <t xml:space="preserve">Less: Opex</t>
  </si>
  <si>
    <t xml:space="preserve">Less: SE tax reserve</t>
  </si>
  <si>
    <t xml:space="preserve">Net Framework cash</t>
  </si>
  <si>
    <t xml:space="preserve">W-2 gross</t>
  </si>
  <si>
    <t xml:space="preserve">W-2 net (post-tax)</t>
  </si>
  <si>
    <t xml:space="preserve">Healthcare</t>
  </si>
  <si>
    <t xml:space="preserve">Personal expenses</t>
  </si>
  <si>
    <t xml:space="preserve">Monthly cash delta</t>
  </si>
  <si>
    <t xml:space="preserve">Cash balance</t>
  </si>
  <si>
    <t xml:space="preserve">POC: MRR met?</t>
  </si>
  <si>
    <t xml:space="preserve">POC: Cash met?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</si>
</sst>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;&quot;($&quot;#,##0\);\-"/>
    <numFmt numFmtId="166" formatCode="0.0%;\(0.0%\);\-"/>
    <numFmt numFmtId="167" formatCode="#,##0.0;\(#,##0.0\);\-"/>
    <numFmt numFmtId="168" formatCode="@"/>
    <numFmt numFmtId="169" formatCode="#,##0;\(#,##0\);\-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0000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1"/>
      <color rgb="FF008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8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FCE4D6"/>
      </patternFill>
    </fill>
    <fill>
      <patternFill patternType="solid">
        <fgColor rgb="FFE2EFDA"/>
        <bgColor rgb="FFD9E2F3"/>
      </patternFill>
    </fill>
    <fill>
      <patternFill patternType="solid">
        <fgColor rgb="FFFCE4D6"/>
        <bgColor rgb="FFFFF2CC"/>
      </patternFill>
    </fill>
    <fill>
      <patternFill patternType="solid">
        <fgColor rgb="FF2F5496"/>
        <bgColor rgb="FF595959"/>
      </patternFill>
    </fill>
    <fill>
      <patternFill patternType="solid">
        <fgColor rgb="FFD9E2F3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80"/>
    <col collapsed="false" customWidth="true" hidden="false" outlineLevel="0" max="7" min="3" style="0" width="12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2" t="s">
        <v>1</v>
      </c>
      <c r="B3" s="2"/>
      <c r="C3" s="2"/>
      <c r="D3" s="2"/>
      <c r="E3" s="2"/>
      <c r="F3" s="2"/>
      <c r="G3" s="2"/>
    </row>
    <row r="5" customFormat="false" ht="15" hidden="false" customHeight="false" outlineLevel="0" collapsed="false">
      <c r="A5" s="3" t="s">
        <v>2</v>
      </c>
    </row>
    <row r="6" customFormat="false" ht="31.5" hidden="false" customHeight="true" outlineLevel="0" collapsed="false">
      <c r="A6" s="4" t="s">
        <v>3</v>
      </c>
      <c r="B6" s="5" t="s">
        <v>4</v>
      </c>
      <c r="C6" s="5"/>
      <c r="D6" s="5"/>
      <c r="E6" s="5"/>
      <c r="F6" s="5"/>
      <c r="G6" s="5"/>
    </row>
    <row r="7" customFormat="false" ht="31.5" hidden="false" customHeight="true" outlineLevel="0" collapsed="false">
      <c r="A7" s="4" t="s">
        <v>5</v>
      </c>
      <c r="B7" s="5" t="s">
        <v>6</v>
      </c>
      <c r="C7" s="5"/>
      <c r="D7" s="5"/>
      <c r="E7" s="5"/>
      <c r="F7" s="5"/>
      <c r="G7" s="5"/>
    </row>
    <row r="8" customFormat="false" ht="31.5" hidden="false" customHeight="true" outlineLevel="0" collapsed="false">
      <c r="A8" s="4" t="s">
        <v>7</v>
      </c>
      <c r="B8" s="5" t="s">
        <v>8</v>
      </c>
      <c r="C8" s="5"/>
      <c r="D8" s="5"/>
      <c r="E8" s="5"/>
      <c r="F8" s="5"/>
      <c r="G8" s="5"/>
    </row>
    <row r="9" customFormat="false" ht="31.5" hidden="false" customHeight="true" outlineLevel="0" collapsed="false">
      <c r="A9" s="4" t="s">
        <v>9</v>
      </c>
      <c r="B9" s="5" t="s">
        <v>10</v>
      </c>
      <c r="C9" s="5"/>
      <c r="D9" s="5"/>
      <c r="E9" s="5"/>
      <c r="F9" s="5"/>
      <c r="G9" s="5"/>
    </row>
    <row r="10" customFormat="false" ht="31.5" hidden="false" customHeight="true" outlineLevel="0" collapsed="false">
      <c r="A10" s="4" t="s">
        <v>11</v>
      </c>
      <c r="B10" s="5" t="s">
        <v>12</v>
      </c>
      <c r="C10" s="5"/>
      <c r="D10" s="5"/>
      <c r="E10" s="5"/>
      <c r="F10" s="5"/>
      <c r="G10" s="5"/>
    </row>
    <row r="11" customFormat="false" ht="31.5" hidden="false" customHeight="true" outlineLevel="0" collapsed="false">
      <c r="A11" s="4" t="s">
        <v>13</v>
      </c>
      <c r="B11" s="5" t="s">
        <v>14</v>
      </c>
      <c r="C11" s="5"/>
      <c r="D11" s="5"/>
      <c r="E11" s="5"/>
      <c r="F11" s="5"/>
      <c r="G11" s="5"/>
    </row>
    <row r="13" customFormat="false" ht="15" hidden="false" customHeight="false" outlineLevel="0" collapsed="false">
      <c r="A13" s="3" t="s">
        <v>15</v>
      </c>
    </row>
    <row r="14" customFormat="false" ht="15" hidden="false" customHeight="false" outlineLevel="0" collapsed="false">
      <c r="A14" s="6" t="s">
        <v>16</v>
      </c>
      <c r="B14" s="7" t="s">
        <v>17</v>
      </c>
    </row>
    <row r="15" customFormat="false" ht="15" hidden="false" customHeight="false" outlineLevel="0" collapsed="false">
      <c r="A15" s="4" t="s">
        <v>18</v>
      </c>
      <c r="B15" s="7" t="s">
        <v>19</v>
      </c>
    </row>
    <row r="16" customFormat="false" ht="15" hidden="false" customHeight="false" outlineLevel="0" collapsed="false">
      <c r="A16" s="8" t="s">
        <v>20</v>
      </c>
      <c r="B16" s="7" t="s">
        <v>21</v>
      </c>
    </row>
    <row r="17" customFormat="false" ht="15" hidden="false" customHeight="false" outlineLevel="0" collapsed="false">
      <c r="A17" s="9" t="s">
        <v>22</v>
      </c>
      <c r="B17" s="7" t="s">
        <v>23</v>
      </c>
    </row>
    <row r="18" customFormat="false" ht="15" hidden="false" customHeight="false" outlineLevel="0" collapsed="false">
      <c r="A18" s="10" t="s">
        <v>24</v>
      </c>
      <c r="B18" s="7" t="s">
        <v>25</v>
      </c>
    </row>
    <row r="19" customFormat="false" ht="15" hidden="false" customHeight="false" outlineLevel="0" collapsed="false">
      <c r="A19" s="11" t="s">
        <v>26</v>
      </c>
      <c r="B19" s="7" t="s">
        <v>27</v>
      </c>
    </row>
    <row r="21" customFormat="false" ht="15" hidden="false" customHeight="false" outlineLevel="0" collapsed="false">
      <c r="A21" s="4" t="s">
        <v>28</v>
      </c>
    </row>
    <row r="22" customFormat="false" ht="31.5" hidden="false" customHeight="true" outlineLevel="0" collapsed="false">
      <c r="A22" s="12" t="s">
        <v>29</v>
      </c>
      <c r="B22" s="12"/>
      <c r="C22" s="12"/>
      <c r="D22" s="12"/>
      <c r="E22" s="12"/>
      <c r="F22" s="12"/>
      <c r="G22" s="12"/>
    </row>
  </sheetData>
  <mergeCells count="9">
    <mergeCell ref="A1:G1"/>
    <mergeCell ref="A3:G3"/>
    <mergeCell ref="B6:G6"/>
    <mergeCell ref="B7:G7"/>
    <mergeCell ref="B8:G8"/>
    <mergeCell ref="B9:G9"/>
    <mergeCell ref="B10:G10"/>
    <mergeCell ref="B11:G11"/>
    <mergeCell ref="A22:G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2"/>
    <col collapsed="false" customWidth="true" hidden="false" outlineLevel="0" max="3" min="3" style="0" width="8"/>
  </cols>
  <sheetData>
    <row r="1" customFormat="false" ht="19.7" hidden="false" customHeight="false" outlineLevel="0" collapsed="false">
      <c r="A1" s="1" t="s">
        <v>30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31</v>
      </c>
      <c r="B2" s="2"/>
      <c r="C2" s="2"/>
      <c r="D2" s="2"/>
      <c r="E2" s="2"/>
    </row>
    <row r="4" customFormat="false" ht="15" hidden="false" customHeight="false" outlineLevel="0" collapsed="false">
      <c r="A4" s="13" t="s">
        <v>32</v>
      </c>
      <c r="B4" s="13"/>
      <c r="C4" s="13"/>
      <c r="D4" s="13"/>
      <c r="E4" s="13"/>
    </row>
    <row r="5" customFormat="false" ht="15" hidden="false" customHeight="false" outlineLevel="0" collapsed="false">
      <c r="A5" s="4" t="s">
        <v>33</v>
      </c>
      <c r="B5" s="14" t="n">
        <f aca="false">'MRR Ramp'!G24</f>
        <v>12500</v>
      </c>
    </row>
    <row r="6" customFormat="false" ht="15" hidden="false" customHeight="false" outlineLevel="0" collapsed="false">
      <c r="A6" s="4" t="s">
        <v>34</v>
      </c>
      <c r="B6" s="14" t="n">
        <f aca="false">'MRR Ramp'!K24</f>
        <v>171964</v>
      </c>
    </row>
    <row r="7" customFormat="false" ht="15" hidden="false" customHeight="false" outlineLevel="0" collapsed="false">
      <c r="A7" s="4" t="s">
        <v>35</v>
      </c>
      <c r="B7" s="15" t="n">
        <v>150000</v>
      </c>
    </row>
    <row r="8" customFormat="false" ht="15" hidden="false" customHeight="false" outlineLevel="0" collapsed="false">
      <c r="A8" s="4" t="s">
        <v>36</v>
      </c>
      <c r="B8" s="16" t="n">
        <f aca="false">'MRR Ramp'!K24/150000</f>
        <v>1.14642666666667</v>
      </c>
    </row>
    <row r="9" customFormat="false" ht="15" hidden="false" customHeight="false" outlineLevel="0" collapsed="false">
      <c r="A9" s="4" t="s">
        <v>37</v>
      </c>
      <c r="B9" s="17" t="n">
        <f aca="false">SUM('MRR Ramp'!I5:I12)</f>
        <v>37982</v>
      </c>
    </row>
    <row r="10" customFormat="false" ht="15" hidden="false" customHeight="false" outlineLevel="0" collapsed="false">
      <c r="A10" s="4" t="s">
        <v>38</v>
      </c>
      <c r="B10" s="17" t="n">
        <f aca="false">SUM('MRR Ramp'!I13:I24)</f>
        <v>153964</v>
      </c>
    </row>
    <row r="11" customFormat="false" ht="15" hidden="false" customHeight="false" outlineLevel="0" collapsed="false">
      <c r="A11" s="4" t="s">
        <v>39</v>
      </c>
      <c r="B11" s="14" t="n">
        <f aca="false">'MRR Ramp'!J24</f>
        <v>191946</v>
      </c>
    </row>
    <row r="13" customFormat="false" ht="15" hidden="false" customHeight="false" outlineLevel="0" collapsed="false">
      <c r="A13" s="13" t="s">
        <v>40</v>
      </c>
      <c r="B13" s="13"/>
      <c r="C13" s="13"/>
      <c r="D13" s="13"/>
      <c r="E13" s="13"/>
    </row>
    <row r="14" customFormat="false" ht="15" hidden="false" customHeight="false" outlineLevel="0" collapsed="false">
      <c r="A14" s="4" t="s">
        <v>41</v>
      </c>
      <c r="B14" s="18" t="n">
        <f aca="false">Capacity!B15</f>
        <v>92.8</v>
      </c>
      <c r="C14" s="19" t="s">
        <v>42</v>
      </c>
    </row>
    <row r="15" customFormat="false" ht="15" hidden="false" customHeight="false" outlineLevel="0" collapsed="false">
      <c r="A15" s="4" t="s">
        <v>43</v>
      </c>
      <c r="B15" s="18" t="n">
        <f aca="false">'MRR Ramp'!L24</f>
        <v>47.55</v>
      </c>
      <c r="C15" s="19" t="s">
        <v>42</v>
      </c>
    </row>
    <row r="16" customFormat="false" ht="15" hidden="false" customHeight="false" outlineLevel="0" collapsed="false">
      <c r="A16" s="4" t="s">
        <v>44</v>
      </c>
      <c r="B16" s="16" t="n">
        <f aca="false">'MRR Ramp'!M24</f>
        <v>0.51239224137931</v>
      </c>
    </row>
    <row r="17" customFormat="false" ht="15" hidden="false" customHeight="false" outlineLevel="0" collapsed="false">
      <c r="A17" s="4" t="s">
        <v>45</v>
      </c>
      <c r="B17" s="17" t="n">
        <f aca="false">Capacity!B25</f>
        <v>318000</v>
      </c>
    </row>
    <row r="18" customFormat="false" ht="15" hidden="false" customHeight="false" outlineLevel="0" collapsed="false">
      <c r="A18" s="4" t="s">
        <v>46</v>
      </c>
      <c r="B18" s="20" t="n">
        <f aca="false">Capacity!B26</f>
        <v>0.471698113207547</v>
      </c>
    </row>
    <row r="20" customFormat="false" ht="15" hidden="false" customHeight="false" outlineLevel="0" collapsed="false">
      <c r="A20" s="13" t="s">
        <v>47</v>
      </c>
      <c r="B20" s="13"/>
      <c r="C20" s="13"/>
      <c r="D20" s="13"/>
      <c r="E20" s="13"/>
    </row>
    <row r="21" customFormat="false" ht="15" hidden="false" customHeight="false" outlineLevel="0" collapsed="false">
      <c r="A21" s="4" t="s">
        <v>48</v>
      </c>
      <c r="B21" s="14" t="n">
        <f aca="false">'Cash Flow'!L24</f>
        <v>34345.12</v>
      </c>
    </row>
    <row r="22" customFormat="false" ht="15" hidden="false" customHeight="false" outlineLevel="0" collapsed="false">
      <c r="A22" s="4" t="s">
        <v>49</v>
      </c>
      <c r="B22" s="14" t="n">
        <f aca="false">MIN('Cash Flow'!L5:L24)</f>
        <v>9040.88</v>
      </c>
    </row>
    <row r="23" customFormat="false" ht="15" hidden="false" customHeight="false" outlineLevel="0" collapsed="false">
      <c r="A23" s="4" t="s">
        <v>50</v>
      </c>
      <c r="B23" s="21" t="str">
        <f aca="false">INDEX('Cash Flow'!B5:B24,MATCH(MIN('Cash Flow'!L5:L24),'Cash Flow'!L5:L24,0))</f>
        <v>Jan 2027</v>
      </c>
    </row>
    <row r="24" customFormat="false" ht="15" hidden="false" customHeight="false" outlineLevel="0" collapsed="false">
      <c r="A24" s="4" t="s">
        <v>51</v>
      </c>
      <c r="B24" s="22" t="n">
        <f aca="false">COUNTIF('Cash Flow'!K5:K24,"&lt;0")</f>
        <v>8</v>
      </c>
    </row>
    <row r="25" customFormat="false" ht="15" hidden="false" customHeight="false" outlineLevel="0" collapsed="false">
      <c r="A25" s="4" t="s">
        <v>52</v>
      </c>
      <c r="B25" s="17" t="n">
        <f aca="false">SUMIF('Cash Flow'!K5:K24,"&lt;0")</f>
        <v>-13884.96</v>
      </c>
    </row>
    <row r="27" customFormat="false" ht="15" hidden="false" customHeight="false" outlineLevel="0" collapsed="false">
      <c r="A27" s="13" t="s">
        <v>53</v>
      </c>
      <c r="B27" s="13"/>
      <c r="C27" s="13"/>
      <c r="D27" s="13"/>
      <c r="E27" s="13"/>
    </row>
    <row r="28" customFormat="false" ht="15" hidden="false" customHeight="false" outlineLevel="0" collapsed="false">
      <c r="A28" s="4" t="s">
        <v>54</v>
      </c>
      <c r="B28" s="22" t="n">
        <f aca="false">Inputs!B24</f>
        <v>4</v>
      </c>
    </row>
    <row r="29" customFormat="false" ht="15" hidden="false" customHeight="false" outlineLevel="0" collapsed="false">
      <c r="A29" s="4" t="s">
        <v>55</v>
      </c>
      <c r="B29" s="8" t="str">
        <f aca="false">INDEX('Cash Flow'!B5:B24,Inputs!B24)</f>
        <v>Aug 2026</v>
      </c>
    </row>
    <row r="30" customFormat="false" ht="15" hidden="false" customHeight="false" outlineLevel="0" collapsed="false">
      <c r="A30" s="4" t="s">
        <v>56</v>
      </c>
      <c r="B30" s="17" t="n">
        <f aca="false">INDEX('MRR Ramp'!G5:G24,Inputs!B24)</f>
        <v>2500</v>
      </c>
    </row>
    <row r="31" customFormat="false" ht="15" hidden="false" customHeight="false" outlineLevel="0" collapsed="false">
      <c r="A31" s="4" t="s">
        <v>57</v>
      </c>
      <c r="B31" s="17" t="n">
        <f aca="false">Inputs!B40</f>
        <v>7500</v>
      </c>
    </row>
    <row r="32" customFormat="false" ht="15" hidden="false" customHeight="false" outlineLevel="0" collapsed="false">
      <c r="A32" s="4" t="s">
        <v>58</v>
      </c>
      <c r="B32" s="23" t="str">
        <f aca="false">IF(B30&gt;=B31,"YES","NO")</f>
        <v>NO</v>
      </c>
    </row>
    <row r="33" customFormat="false" ht="15" hidden="false" customHeight="false" outlineLevel="0" collapsed="false">
      <c r="A33" s="4" t="s">
        <v>59</v>
      </c>
      <c r="B33" s="17" t="n">
        <f aca="false">INDEX('Cash Flow'!L5:L24,Inputs!B24)</f>
        <v>18091.68</v>
      </c>
    </row>
    <row r="34" customFormat="false" ht="15" hidden="false" customHeight="false" outlineLevel="0" collapsed="false">
      <c r="A34" s="4" t="s">
        <v>60</v>
      </c>
      <c r="B34" s="17" t="n">
        <f aca="false">Inputs!B25*Inputs!B41</f>
        <v>36000</v>
      </c>
    </row>
    <row r="35" customFormat="false" ht="15" hidden="false" customHeight="false" outlineLevel="0" collapsed="false">
      <c r="A35" s="4" t="s">
        <v>61</v>
      </c>
      <c r="B35" s="23" t="str">
        <f aca="false">IF(B33&gt;=B34,"YES","NO")</f>
        <v>NO</v>
      </c>
    </row>
    <row r="36" customFormat="false" ht="15" hidden="false" customHeight="false" outlineLevel="0" collapsed="false">
      <c r="A36" s="9" t="s">
        <v>62</v>
      </c>
      <c r="B36" s="24" t="str">
        <f aca="false">IF(AND(B32="YES",B35="YES"),"YES","NO")</f>
        <v>NO</v>
      </c>
    </row>
  </sheetData>
  <mergeCells count="6">
    <mergeCell ref="A1:E1"/>
    <mergeCell ref="A2:E2"/>
    <mergeCell ref="A4:E4"/>
    <mergeCell ref="A13:E13"/>
    <mergeCell ref="A20:E20"/>
    <mergeCell ref="A27:E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4"/>
    <col collapsed="false" customWidth="true" hidden="false" outlineLevel="0" max="4" min="3" style="0" width="22"/>
    <col collapsed="false" customWidth="true" hidden="false" outlineLevel="0" max="5" min="5" style="0" width="18"/>
  </cols>
  <sheetData>
    <row r="1" customFormat="false" ht="19.7" hidden="false" customHeight="false" outlineLevel="0" collapsed="false">
      <c r="A1" s="1" t="s">
        <v>63</v>
      </c>
      <c r="B1" s="1"/>
      <c r="C1" s="1"/>
      <c r="D1" s="1"/>
      <c r="E1" s="1"/>
    </row>
    <row r="2" customFormat="false" ht="15" hidden="false" customHeight="false" outlineLevel="0" collapsed="false">
      <c r="A2" s="2" t="s">
        <v>64</v>
      </c>
      <c r="B2" s="2"/>
      <c r="C2" s="2"/>
      <c r="D2" s="2"/>
      <c r="E2" s="2"/>
    </row>
    <row r="4" customFormat="false" ht="15" hidden="false" customHeight="false" outlineLevel="0" collapsed="false">
      <c r="A4" s="13" t="s">
        <v>65</v>
      </c>
      <c r="B4" s="13"/>
      <c r="C4" s="13"/>
      <c r="D4" s="13"/>
      <c r="E4" s="13"/>
    </row>
    <row r="5" customFormat="false" ht="15" hidden="false" customHeight="false" outlineLevel="0" collapsed="false">
      <c r="A5" s="25" t="s">
        <v>66</v>
      </c>
      <c r="B5" s="25" t="s">
        <v>67</v>
      </c>
      <c r="C5" s="25" t="s">
        <v>68</v>
      </c>
      <c r="D5" s="25" t="s">
        <v>69</v>
      </c>
      <c r="E5" s="25" t="s">
        <v>70</v>
      </c>
    </row>
    <row r="6" customFormat="false" ht="15" hidden="false" customHeight="false" outlineLevel="0" collapsed="false">
      <c r="A6" s="26" t="s">
        <v>71</v>
      </c>
      <c r="B6" s="27" t="n">
        <v>1500</v>
      </c>
      <c r="C6" s="28" t="n">
        <v>5</v>
      </c>
      <c r="D6" s="29" t="n">
        <v>0.2</v>
      </c>
      <c r="E6" s="30" t="n">
        <f aca="false">C6*(1-D6)</f>
        <v>4</v>
      </c>
    </row>
    <row r="7" customFormat="false" ht="15" hidden="false" customHeight="false" outlineLevel="0" collapsed="false">
      <c r="A7" s="26" t="s">
        <v>72</v>
      </c>
      <c r="B7" s="27" t="n">
        <v>2500</v>
      </c>
      <c r="C7" s="28" t="n">
        <v>10</v>
      </c>
      <c r="D7" s="29" t="n">
        <v>0.22</v>
      </c>
      <c r="E7" s="30" t="n">
        <f aca="false">C7*(1-D7)</f>
        <v>7.8</v>
      </c>
    </row>
    <row r="8" customFormat="false" ht="15" hidden="false" customHeight="false" outlineLevel="0" collapsed="false">
      <c r="A8" s="26" t="s">
        <v>73</v>
      </c>
      <c r="B8" s="27" t="n">
        <v>4000</v>
      </c>
      <c r="C8" s="28" t="n">
        <v>18</v>
      </c>
      <c r="D8" s="29" t="n">
        <v>0.25</v>
      </c>
      <c r="E8" s="30" t="n">
        <f aca="false">C8*(1-D8)</f>
        <v>13.5</v>
      </c>
    </row>
    <row r="9" customFormat="false" ht="15" hidden="false" customHeight="false" outlineLevel="0" collapsed="false">
      <c r="A9" s="26" t="s">
        <v>74</v>
      </c>
      <c r="B9" s="27" t="n">
        <v>6000</v>
      </c>
      <c r="C9" s="28" t="n">
        <v>35</v>
      </c>
      <c r="D9" s="29" t="n">
        <v>0.25</v>
      </c>
      <c r="E9" s="30" t="n">
        <f aca="false">C9*(1-D9)</f>
        <v>26.25</v>
      </c>
    </row>
    <row r="12" customFormat="false" ht="15" hidden="false" customHeight="false" outlineLevel="0" collapsed="false">
      <c r="A12" s="13" t="s">
        <v>75</v>
      </c>
      <c r="B12" s="13"/>
      <c r="C12" s="13"/>
      <c r="D12" s="13"/>
      <c r="E12" s="13"/>
    </row>
    <row r="13" customFormat="false" ht="15" hidden="false" customHeight="false" outlineLevel="0" collapsed="false">
      <c r="A13" s="4" t="s">
        <v>76</v>
      </c>
      <c r="B13" s="31" t="n">
        <v>25</v>
      </c>
      <c r="C13" s="2" t="s">
        <v>77</v>
      </c>
      <c r="D13" s="2"/>
      <c r="E13" s="2"/>
    </row>
    <row r="14" customFormat="false" ht="15" hidden="false" customHeight="false" outlineLevel="0" collapsed="false">
      <c r="A14" s="4" t="s">
        <v>78</v>
      </c>
      <c r="B14" s="31" t="n">
        <v>50</v>
      </c>
      <c r="C14" s="2" t="s">
        <v>79</v>
      </c>
      <c r="D14" s="2"/>
      <c r="E14" s="2"/>
    </row>
    <row r="15" customFormat="false" ht="15" hidden="false" customHeight="false" outlineLevel="0" collapsed="false">
      <c r="A15" s="4" t="s">
        <v>80</v>
      </c>
      <c r="B15" s="32" t="n">
        <v>11</v>
      </c>
      <c r="C15" s="2" t="s">
        <v>81</v>
      </c>
      <c r="D15" s="2"/>
      <c r="E15" s="2"/>
    </row>
    <row r="16" customFormat="false" ht="15" hidden="false" customHeight="false" outlineLevel="0" collapsed="false">
      <c r="A16" s="4" t="s">
        <v>82</v>
      </c>
      <c r="B16" s="32" t="n">
        <v>4</v>
      </c>
      <c r="C16" s="2" t="s">
        <v>83</v>
      </c>
      <c r="D16" s="2"/>
      <c r="E16" s="2"/>
    </row>
    <row r="17" customFormat="false" ht="15" hidden="false" customHeight="false" outlineLevel="0" collapsed="false">
      <c r="A17" s="4" t="s">
        <v>84</v>
      </c>
      <c r="B17" s="32" t="n">
        <v>4</v>
      </c>
      <c r="C17" s="2" t="s">
        <v>85</v>
      </c>
      <c r="D17" s="2"/>
      <c r="E17" s="2"/>
    </row>
    <row r="18" customFormat="false" ht="15" hidden="false" customHeight="false" outlineLevel="0" collapsed="false">
      <c r="A18" s="4" t="s">
        <v>86</v>
      </c>
      <c r="B18" s="32" t="n">
        <v>2</v>
      </c>
      <c r="C18" s="2" t="s">
        <v>87</v>
      </c>
      <c r="D18" s="2"/>
      <c r="E18" s="2"/>
    </row>
    <row r="19" customFormat="false" ht="15" hidden="false" customHeight="false" outlineLevel="0" collapsed="false">
      <c r="A19" s="4" t="s">
        <v>88</v>
      </c>
      <c r="B19" s="32" t="n">
        <v>48</v>
      </c>
      <c r="C19" s="2" t="s">
        <v>89</v>
      </c>
      <c r="D19" s="2"/>
      <c r="E19" s="2"/>
    </row>
    <row r="20" customFormat="false" ht="15" hidden="false" customHeight="false" outlineLevel="0" collapsed="false">
      <c r="A20" s="4" t="s">
        <v>90</v>
      </c>
      <c r="B20" s="33" t="n">
        <v>0.8</v>
      </c>
      <c r="C20" s="2" t="s">
        <v>91</v>
      </c>
      <c r="D20" s="2"/>
      <c r="E20" s="2"/>
    </row>
    <row r="22" customFormat="false" ht="15" hidden="false" customHeight="false" outlineLevel="0" collapsed="false">
      <c r="A22" s="13" t="s">
        <v>92</v>
      </c>
      <c r="B22" s="13"/>
      <c r="C22" s="13"/>
      <c r="D22" s="13"/>
      <c r="E22" s="13"/>
    </row>
    <row r="23" customFormat="false" ht="15" hidden="false" customHeight="false" outlineLevel="0" collapsed="false">
      <c r="A23" s="4" t="s">
        <v>93</v>
      </c>
      <c r="B23" s="15" t="n">
        <v>8000</v>
      </c>
      <c r="C23" s="2" t="s">
        <v>94</v>
      </c>
      <c r="D23" s="2"/>
      <c r="E23" s="2"/>
    </row>
    <row r="24" customFormat="false" ht="15" hidden="false" customHeight="false" outlineLevel="0" collapsed="false">
      <c r="A24" s="4" t="s">
        <v>95</v>
      </c>
      <c r="B24" s="31" t="n">
        <v>4</v>
      </c>
      <c r="C24" s="2" t="s">
        <v>96</v>
      </c>
      <c r="D24" s="2"/>
      <c r="E24" s="2"/>
    </row>
    <row r="25" customFormat="false" ht="15" hidden="false" customHeight="false" outlineLevel="0" collapsed="false">
      <c r="A25" s="4" t="s">
        <v>97</v>
      </c>
      <c r="B25" s="34" t="n">
        <v>6000</v>
      </c>
      <c r="C25" s="2" t="s">
        <v>98</v>
      </c>
      <c r="D25" s="2"/>
      <c r="E25" s="2"/>
    </row>
    <row r="26" customFormat="false" ht="15" hidden="false" customHeight="false" outlineLevel="0" collapsed="false">
      <c r="A26" s="4" t="s">
        <v>99</v>
      </c>
      <c r="B26" s="15" t="n">
        <v>800</v>
      </c>
      <c r="C26" s="2" t="s">
        <v>100</v>
      </c>
      <c r="D26" s="2"/>
      <c r="E26" s="2"/>
    </row>
    <row r="27" customFormat="false" ht="15" hidden="false" customHeight="false" outlineLevel="0" collapsed="false">
      <c r="A27" s="4" t="s">
        <v>101</v>
      </c>
      <c r="B27" s="15" t="n">
        <v>600</v>
      </c>
      <c r="C27" s="2" t="s">
        <v>102</v>
      </c>
      <c r="D27" s="2"/>
      <c r="E27" s="2"/>
    </row>
    <row r="28" customFormat="false" ht="15" hidden="false" customHeight="false" outlineLevel="0" collapsed="false">
      <c r="A28" s="4" t="s">
        <v>103</v>
      </c>
      <c r="B28" s="35" t="n">
        <v>0.28</v>
      </c>
      <c r="C28" s="2" t="s">
        <v>104</v>
      </c>
      <c r="D28" s="2"/>
      <c r="E28" s="2"/>
    </row>
    <row r="29" customFormat="false" ht="15" hidden="false" customHeight="false" outlineLevel="0" collapsed="false">
      <c r="A29" s="4" t="s">
        <v>105</v>
      </c>
      <c r="B29" s="35" t="n">
        <v>0.22</v>
      </c>
      <c r="C29" s="2" t="s">
        <v>106</v>
      </c>
      <c r="D29" s="2"/>
      <c r="E29" s="2"/>
    </row>
    <row r="30" customFormat="false" ht="15" hidden="false" customHeight="false" outlineLevel="0" collapsed="false">
      <c r="A30" s="4" t="s">
        <v>107</v>
      </c>
      <c r="B30" s="34" t="n">
        <v>20000</v>
      </c>
      <c r="C30" s="2" t="s">
        <v>108</v>
      </c>
      <c r="D30" s="2"/>
      <c r="E30" s="2"/>
    </row>
    <row r="32" customFormat="false" ht="15" hidden="false" customHeight="false" outlineLevel="0" collapsed="false">
      <c r="A32" s="13" t="s">
        <v>109</v>
      </c>
      <c r="B32" s="13"/>
      <c r="C32" s="13"/>
      <c r="D32" s="13"/>
      <c r="E32" s="13"/>
    </row>
    <row r="33" customFormat="false" ht="15" hidden="false" customHeight="false" outlineLevel="0" collapsed="false">
      <c r="A33" s="4" t="s">
        <v>110</v>
      </c>
      <c r="B33" s="36" t="n">
        <v>1</v>
      </c>
      <c r="C33" s="2" t="s">
        <v>111</v>
      </c>
      <c r="D33" s="2"/>
      <c r="E33" s="2"/>
    </row>
    <row r="34" customFormat="false" ht="15" hidden="false" customHeight="false" outlineLevel="0" collapsed="false">
      <c r="A34" s="4" t="s">
        <v>112</v>
      </c>
      <c r="B34" s="15" t="n">
        <v>997</v>
      </c>
      <c r="C34" s="2"/>
      <c r="D34" s="2"/>
      <c r="E34" s="2"/>
    </row>
    <row r="35" customFormat="false" ht="15" hidden="false" customHeight="false" outlineLevel="0" collapsed="false">
      <c r="A35" s="4" t="s">
        <v>113</v>
      </c>
      <c r="B35" s="36" t="n">
        <v>1</v>
      </c>
      <c r="C35" s="2" t="s">
        <v>114</v>
      </c>
      <c r="D35" s="2"/>
      <c r="E35" s="2"/>
    </row>
    <row r="36" customFormat="false" ht="15" hidden="false" customHeight="false" outlineLevel="0" collapsed="false">
      <c r="A36" s="4" t="s">
        <v>115</v>
      </c>
      <c r="B36" s="15" t="n">
        <v>2500</v>
      </c>
      <c r="C36" s="2" t="s">
        <v>116</v>
      </c>
      <c r="D36" s="2"/>
      <c r="E36" s="2"/>
    </row>
    <row r="37" customFormat="false" ht="15" hidden="false" customHeight="false" outlineLevel="0" collapsed="false">
      <c r="A37" s="4" t="s">
        <v>117</v>
      </c>
      <c r="B37" s="36" t="n">
        <v>3</v>
      </c>
      <c r="C37" s="2" t="s">
        <v>118</v>
      </c>
      <c r="D37" s="2"/>
      <c r="E37" s="2"/>
    </row>
    <row r="39" customFormat="false" ht="15" hidden="false" customHeight="false" outlineLevel="0" collapsed="false">
      <c r="A39" s="13" t="s">
        <v>119</v>
      </c>
      <c r="B39" s="13"/>
      <c r="C39" s="13"/>
      <c r="D39" s="13"/>
      <c r="E39" s="13"/>
    </row>
    <row r="40" customFormat="false" ht="15" hidden="false" customHeight="false" outlineLevel="0" collapsed="false">
      <c r="A40" s="4" t="s">
        <v>120</v>
      </c>
      <c r="B40" s="34" t="n">
        <v>7500</v>
      </c>
      <c r="C40" s="2" t="s">
        <v>121</v>
      </c>
      <c r="D40" s="2"/>
      <c r="E40" s="2"/>
    </row>
    <row r="41" customFormat="false" ht="15" hidden="false" customHeight="false" outlineLevel="0" collapsed="false">
      <c r="A41" s="4" t="s">
        <v>122</v>
      </c>
      <c r="B41" s="31" t="n">
        <v>6</v>
      </c>
      <c r="C41" s="2" t="s">
        <v>123</v>
      </c>
      <c r="D41" s="2"/>
      <c r="E41" s="2"/>
    </row>
    <row r="42" customFormat="false" ht="15" hidden="false" customHeight="false" outlineLevel="0" collapsed="false">
      <c r="A42" s="4" t="s">
        <v>124</v>
      </c>
      <c r="B42" s="32" t="n">
        <v>1</v>
      </c>
      <c r="C42" s="2" t="s">
        <v>125</v>
      </c>
      <c r="D42" s="2"/>
      <c r="E42" s="2"/>
    </row>
  </sheetData>
  <mergeCells count="31">
    <mergeCell ref="A1:E1"/>
    <mergeCell ref="A2:E2"/>
    <mergeCell ref="A4:E4"/>
    <mergeCell ref="A12:E12"/>
    <mergeCell ref="C13:E13"/>
    <mergeCell ref="C14:E14"/>
    <mergeCell ref="C15:E15"/>
    <mergeCell ref="C16:E16"/>
    <mergeCell ref="C17:E17"/>
    <mergeCell ref="C18:E18"/>
    <mergeCell ref="C19:E19"/>
    <mergeCell ref="C20:E20"/>
    <mergeCell ref="A22:E22"/>
    <mergeCell ref="C23:E23"/>
    <mergeCell ref="C24:E24"/>
    <mergeCell ref="C25:E25"/>
    <mergeCell ref="C26:E26"/>
    <mergeCell ref="C27:E27"/>
    <mergeCell ref="C28:E28"/>
    <mergeCell ref="C29:E29"/>
    <mergeCell ref="C30:E30"/>
    <mergeCell ref="A32:E32"/>
    <mergeCell ref="C33:E33"/>
    <mergeCell ref="C34:E34"/>
    <mergeCell ref="C35:E35"/>
    <mergeCell ref="C36:E36"/>
    <mergeCell ref="C37:E37"/>
    <mergeCell ref="A39:E39"/>
    <mergeCell ref="C40:E40"/>
    <mergeCell ref="C41:E41"/>
    <mergeCell ref="C42:E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8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22"/>
    <col collapsed="false" customWidth="true" hidden="false" outlineLevel="0" max="6" min="6" style="0" width="16"/>
  </cols>
  <sheetData>
    <row r="1" customFormat="false" ht="19.7" hidden="false" customHeight="false" outlineLevel="0" collapsed="false">
      <c r="A1" s="1" t="s">
        <v>126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127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13" t="s">
        <v>128</v>
      </c>
      <c r="B4" s="13"/>
      <c r="C4" s="13"/>
      <c r="D4" s="13"/>
      <c r="E4" s="13"/>
      <c r="F4" s="13"/>
    </row>
    <row r="5" customFormat="false" ht="15" hidden="false" customHeight="false" outlineLevel="0" collapsed="false">
      <c r="A5" s="25" t="s">
        <v>129</v>
      </c>
      <c r="B5" s="25" t="s">
        <v>130</v>
      </c>
      <c r="C5" s="25" t="s">
        <v>131</v>
      </c>
      <c r="D5" s="25" t="s">
        <v>132</v>
      </c>
    </row>
    <row r="6" customFormat="false" ht="15" hidden="false" customHeight="false" outlineLevel="0" collapsed="false">
      <c r="A6" s="37" t="s">
        <v>133</v>
      </c>
      <c r="B6" s="38" t="n">
        <f aca="false">Inputs!B13</f>
        <v>25</v>
      </c>
      <c r="C6" s="38" t="n">
        <f aca="false">Inputs!B14</f>
        <v>50</v>
      </c>
      <c r="D6" s="2" t="s">
        <v>134</v>
      </c>
      <c r="E6" s="2"/>
      <c r="F6" s="2"/>
    </row>
    <row r="7" customFormat="false" ht="15" hidden="false" customHeight="false" outlineLevel="0" collapsed="false">
      <c r="A7" s="37" t="s">
        <v>135</v>
      </c>
      <c r="B7" s="38" t="n">
        <f aca="false">Inputs!B15</f>
        <v>11</v>
      </c>
      <c r="C7" s="38" t="n">
        <f aca="false">Inputs!B15</f>
        <v>11</v>
      </c>
      <c r="D7" s="2" t="s">
        <v>136</v>
      </c>
      <c r="E7" s="2"/>
      <c r="F7" s="2"/>
    </row>
    <row r="8" customFormat="false" ht="15" hidden="false" customHeight="false" outlineLevel="0" collapsed="false">
      <c r="A8" s="37" t="s">
        <v>137</v>
      </c>
      <c r="B8" s="38" t="n">
        <f aca="false">Inputs!B16</f>
        <v>4</v>
      </c>
      <c r="C8" s="38" t="n">
        <f aca="false">Inputs!B16</f>
        <v>4</v>
      </c>
      <c r="D8" s="2"/>
      <c r="E8" s="2"/>
      <c r="F8" s="2"/>
    </row>
    <row r="9" customFormat="false" ht="15" hidden="false" customHeight="false" outlineLevel="0" collapsed="false">
      <c r="A9" s="37" t="s">
        <v>138</v>
      </c>
      <c r="B9" s="38" t="n">
        <f aca="false">Inputs!B17</f>
        <v>4</v>
      </c>
      <c r="C9" s="38" t="n">
        <f aca="false">Inputs!B17</f>
        <v>4</v>
      </c>
      <c r="D9" s="2"/>
      <c r="E9" s="2"/>
      <c r="F9" s="2"/>
    </row>
    <row r="10" customFormat="false" ht="15" hidden="false" customHeight="false" outlineLevel="0" collapsed="false">
      <c r="A10" s="37" t="s">
        <v>139</v>
      </c>
      <c r="B10" s="38" t="n">
        <f aca="false">Inputs!B18</f>
        <v>2</v>
      </c>
      <c r="C10" s="38" t="n">
        <f aca="false">Inputs!B18</f>
        <v>2</v>
      </c>
      <c r="D10" s="2"/>
      <c r="E10" s="2"/>
      <c r="F10" s="2"/>
    </row>
    <row r="11" customFormat="false" ht="15" hidden="false" customHeight="false" outlineLevel="0" collapsed="false">
      <c r="A11" s="26" t="s">
        <v>140</v>
      </c>
      <c r="B11" s="39" t="n">
        <f aca="false">B6-B7-B8-B9-B10</f>
        <v>4</v>
      </c>
      <c r="C11" s="39" t="n">
        <f aca="false">C6-C7-C8-C9-C10</f>
        <v>29</v>
      </c>
      <c r="D11" s="2" t="s">
        <v>141</v>
      </c>
      <c r="E11" s="2"/>
      <c r="F11" s="2"/>
    </row>
    <row r="12" customFormat="false" ht="15" hidden="false" customHeight="false" outlineLevel="0" collapsed="false">
      <c r="A12" s="26" t="s">
        <v>142</v>
      </c>
      <c r="B12" s="38" t="n">
        <f aca="false">B11*Inputs!B20</f>
        <v>3.2</v>
      </c>
      <c r="C12" s="38" t="n">
        <f aca="false">C11*Inputs!B20</f>
        <v>23.2</v>
      </c>
      <c r="D12" s="2" t="s">
        <v>143</v>
      </c>
      <c r="E12" s="2"/>
      <c r="F12" s="2"/>
    </row>
    <row r="14" customFormat="false" ht="15" hidden="false" customHeight="false" outlineLevel="0" collapsed="false">
      <c r="A14" s="13" t="s">
        <v>144</v>
      </c>
      <c r="B14" s="13"/>
      <c r="C14" s="13"/>
      <c r="D14" s="13"/>
      <c r="E14" s="13"/>
      <c r="F14" s="13"/>
    </row>
    <row r="15" customFormat="false" ht="15" hidden="false" customHeight="false" outlineLevel="0" collapsed="false">
      <c r="A15" s="4" t="s">
        <v>145</v>
      </c>
      <c r="B15" s="40" t="n">
        <f aca="false">C12*Inputs!B19/12</f>
        <v>92.8</v>
      </c>
      <c r="C15" s="2" t="s">
        <v>146</v>
      </c>
      <c r="D15" s="2"/>
      <c r="E15" s="2"/>
      <c r="F15" s="2"/>
    </row>
    <row r="17" customFormat="false" ht="15" hidden="false" customHeight="false" outlineLevel="0" collapsed="false">
      <c r="A17" s="13" t="s">
        <v>147</v>
      </c>
      <c r="B17" s="13"/>
      <c r="C17" s="13"/>
      <c r="D17" s="13"/>
      <c r="E17" s="13"/>
      <c r="F17" s="13"/>
    </row>
    <row r="18" customFormat="false" ht="15" hidden="false" customHeight="false" outlineLevel="0" collapsed="false">
      <c r="A18" s="25" t="s">
        <v>148</v>
      </c>
      <c r="B18" s="25" t="s">
        <v>149</v>
      </c>
      <c r="C18" s="25" t="s">
        <v>150</v>
      </c>
      <c r="D18" s="25" t="s">
        <v>151</v>
      </c>
      <c r="E18" s="25" t="s">
        <v>152</v>
      </c>
      <c r="F18" s="25" t="s">
        <v>153</v>
      </c>
    </row>
    <row r="19" customFormat="false" ht="15" hidden="false" customHeight="false" outlineLevel="0" collapsed="false">
      <c r="A19" s="26" t="s">
        <v>154</v>
      </c>
      <c r="B19" s="37" t="s">
        <v>155</v>
      </c>
      <c r="C19" s="41" t="n">
        <f aca="false">6*Inputs!E8+1*Inputs!E7</f>
        <v>88.8</v>
      </c>
      <c r="D19" s="42" t="n">
        <f aca="false">6*Inputs!B8+1*Inputs!B7</f>
        <v>26500</v>
      </c>
      <c r="E19" s="43" t="n">
        <f aca="false">D19*12</f>
        <v>318000</v>
      </c>
      <c r="F19" s="44" t="n">
        <f aca="false">C19/$B$15</f>
        <v>0.956896551724138</v>
      </c>
    </row>
    <row r="20" customFormat="false" ht="15" hidden="false" customHeight="false" outlineLevel="0" collapsed="false">
      <c r="A20" s="26" t="s">
        <v>156</v>
      </c>
      <c r="B20" s="37" t="s">
        <v>157</v>
      </c>
      <c r="C20" s="41" t="n">
        <f aca="false">2*Inputs!E9+3*Inputs!E8+1*Inputs!E7</f>
        <v>100.8</v>
      </c>
      <c r="D20" s="42" t="n">
        <f aca="false">2*Inputs!B9+3*Inputs!B8+1*Inputs!B7</f>
        <v>26500</v>
      </c>
      <c r="E20" s="43" t="n">
        <f aca="false">D20*12</f>
        <v>318000</v>
      </c>
      <c r="F20" s="44" t="n">
        <f aca="false">C20/$B$15</f>
        <v>1.08620689655172</v>
      </c>
    </row>
    <row r="21" customFormat="false" ht="15" hidden="false" customHeight="false" outlineLevel="0" collapsed="false">
      <c r="A21" s="26" t="s">
        <v>158</v>
      </c>
      <c r="B21" s="37" t="s">
        <v>159</v>
      </c>
      <c r="C21" s="41" t="n">
        <f aca="false">3*Inputs!E9+1*Inputs!E8</f>
        <v>92.25</v>
      </c>
      <c r="D21" s="42" t="n">
        <f aca="false">3*Inputs!B9+1*Inputs!B8</f>
        <v>22000</v>
      </c>
      <c r="E21" s="43" t="n">
        <f aca="false">D21*12</f>
        <v>264000</v>
      </c>
      <c r="F21" s="44" t="n">
        <f aca="false">C21/$B$15</f>
        <v>0.994073275862069</v>
      </c>
    </row>
    <row r="22" customFormat="false" ht="15" hidden="false" customHeight="false" outlineLevel="0" collapsed="false">
      <c r="A22" s="45" t="s">
        <v>160</v>
      </c>
      <c r="B22" s="46" t="s">
        <v>161</v>
      </c>
      <c r="C22" s="47" t="n">
        <f aca="false">1*Inputs!E9+1*Inputs!E8+1*Inputs!E7</f>
        <v>47.55</v>
      </c>
      <c r="D22" s="48" t="n">
        <f aca="false">1*Inputs!B9+1*Inputs!B8+1*Inputs!B7</f>
        <v>12500</v>
      </c>
      <c r="E22" s="49" t="n">
        <f aca="false">D22*12</f>
        <v>150000</v>
      </c>
      <c r="F22" s="50" t="n">
        <f aca="false">C22/$B$15</f>
        <v>0.51239224137931</v>
      </c>
    </row>
    <row r="24" customFormat="false" ht="15" hidden="false" customHeight="false" outlineLevel="0" collapsed="false">
      <c r="A24" s="13" t="s">
        <v>162</v>
      </c>
      <c r="B24" s="13"/>
      <c r="C24" s="13"/>
      <c r="D24" s="13"/>
      <c r="E24" s="13"/>
      <c r="F24" s="13"/>
    </row>
    <row r="25" customFormat="false" ht="15" hidden="false" customHeight="false" outlineLevel="0" collapsed="false">
      <c r="A25" s="4" t="s">
        <v>163</v>
      </c>
      <c r="B25" s="51" t="n">
        <f aca="false">E20</f>
        <v>318000</v>
      </c>
      <c r="C25" s="2" t="s">
        <v>164</v>
      </c>
      <c r="D25" s="2"/>
      <c r="E25" s="2"/>
      <c r="F25" s="2"/>
    </row>
    <row r="26" customFormat="false" ht="15" hidden="false" customHeight="false" outlineLevel="0" collapsed="false">
      <c r="A26" s="4" t="s">
        <v>165</v>
      </c>
      <c r="B26" s="52" t="n">
        <f aca="false">150000/B25</f>
        <v>0.471698113207547</v>
      </c>
      <c r="C26" s="2" t="s">
        <v>166</v>
      </c>
      <c r="D26" s="2"/>
      <c r="E26" s="2"/>
      <c r="F26" s="2"/>
    </row>
  </sheetData>
  <mergeCells count="16">
    <mergeCell ref="A1:F1"/>
    <mergeCell ref="A2:F2"/>
    <mergeCell ref="A4:F4"/>
    <mergeCell ref="D6:F6"/>
    <mergeCell ref="D7:F7"/>
    <mergeCell ref="D8:F8"/>
    <mergeCell ref="D9:F9"/>
    <mergeCell ref="D10:F10"/>
    <mergeCell ref="D11:F11"/>
    <mergeCell ref="D12:F12"/>
    <mergeCell ref="A14:F14"/>
    <mergeCell ref="C15:F15"/>
    <mergeCell ref="A17:F17"/>
    <mergeCell ref="A24:F24"/>
    <mergeCell ref="C25:F25"/>
    <mergeCell ref="C26:F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3"/>
    <col collapsed="false" customWidth="true" hidden="false" outlineLevel="0" max="6" min="3" style="0" width="10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9" min="9" style="0" width="14"/>
    <col collapsed="false" customWidth="true" hidden="false" outlineLevel="0" max="12" min="10" style="0" width="18"/>
    <col collapsed="false" customWidth="true" hidden="false" outlineLevel="0" max="13" min="13" style="0" width="12"/>
  </cols>
  <sheetData>
    <row r="1" customFormat="false" ht="19.7" hidden="false" customHeight="false" outlineLevel="0" collapsed="false">
      <c r="A1" s="1" t="s">
        <v>167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" hidden="false" customHeight="false" outlineLevel="0" collapsed="false">
      <c r="A2" s="2" t="s">
        <v>168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15" hidden="false" customHeight="false" outlineLevel="0" collapsed="false">
      <c r="A4" s="25" t="s">
        <v>169</v>
      </c>
      <c r="B4" s="25" t="s">
        <v>170</v>
      </c>
      <c r="C4" s="25" t="s">
        <v>71</v>
      </c>
      <c r="D4" s="25" t="s">
        <v>72</v>
      </c>
      <c r="E4" s="25" t="s">
        <v>73</v>
      </c>
      <c r="F4" s="25" t="s">
        <v>74</v>
      </c>
      <c r="G4" s="25" t="s">
        <v>171</v>
      </c>
      <c r="H4" s="25" t="s">
        <v>172</v>
      </c>
      <c r="I4" s="25" t="s">
        <v>173</v>
      </c>
      <c r="J4" s="25" t="s">
        <v>174</v>
      </c>
      <c r="K4" s="25" t="s">
        <v>175</v>
      </c>
      <c r="L4" s="25" t="s">
        <v>176</v>
      </c>
      <c r="M4" s="25" t="s">
        <v>177</v>
      </c>
    </row>
    <row r="5" customFormat="false" ht="15" hidden="false" customHeight="false" outlineLevel="0" collapsed="false">
      <c r="A5" s="53" t="n">
        <v>1</v>
      </c>
      <c r="B5" s="26" t="s">
        <v>178</v>
      </c>
      <c r="C5" s="54" t="n">
        <v>0</v>
      </c>
      <c r="D5" s="54" t="n">
        <v>0</v>
      </c>
      <c r="E5" s="54" t="n">
        <v>0</v>
      </c>
      <c r="F5" s="54" t="n">
        <v>0</v>
      </c>
      <c r="G5" s="42" t="n">
        <f aca="false">C5*Inputs!$B$6+D5*Inputs!$B$7+E5*Inputs!$B$8+F5*Inputs!$B$9</f>
        <v>0</v>
      </c>
      <c r="H5" s="42" t="n">
        <f aca="false">IF(A5&gt;=Inputs!$B$37,Inputs!$B$33*Inputs!$B$34+Inputs!$B$35/3*Inputs!$B$36,0)</f>
        <v>0</v>
      </c>
      <c r="I5" s="55" t="n">
        <f aca="false">G5+H5</f>
        <v>0</v>
      </c>
      <c r="J5" s="43" t="n">
        <f aca="false">I5</f>
        <v>0</v>
      </c>
      <c r="K5" s="43" t="n">
        <f aca="false">I5*12</f>
        <v>0</v>
      </c>
      <c r="L5" s="41" t="n">
        <f aca="false">C5*Inputs!$E$6+D5*Inputs!$E$7+E5*Inputs!$E$8+F5*Inputs!$E$9</f>
        <v>0</v>
      </c>
      <c r="M5" s="56" t="n">
        <f aca="false">L5/Capacity!$B$15</f>
        <v>0</v>
      </c>
    </row>
    <row r="6" customFormat="false" ht="15" hidden="false" customHeight="false" outlineLevel="0" collapsed="false">
      <c r="A6" s="53" t="n">
        <v>2</v>
      </c>
      <c r="B6" s="26" t="s">
        <v>179</v>
      </c>
      <c r="C6" s="54" t="n">
        <v>0</v>
      </c>
      <c r="D6" s="54" t="n">
        <v>0</v>
      </c>
      <c r="E6" s="54" t="n">
        <v>0</v>
      </c>
      <c r="F6" s="54" t="n">
        <v>0</v>
      </c>
      <c r="G6" s="42" t="n">
        <f aca="false">C6*Inputs!$B$6+D6*Inputs!$B$7+E6*Inputs!$B$8+F6*Inputs!$B$9</f>
        <v>0</v>
      </c>
      <c r="H6" s="42" t="n">
        <f aca="false">IF(A6&gt;=Inputs!$B$37,Inputs!$B$33*Inputs!$B$34+Inputs!$B$35/3*Inputs!$B$36,0)</f>
        <v>0</v>
      </c>
      <c r="I6" s="55" t="n">
        <f aca="false">G6+H6</f>
        <v>0</v>
      </c>
      <c r="J6" s="43" t="n">
        <f aca="false">J5+I6</f>
        <v>0</v>
      </c>
      <c r="K6" s="43" t="n">
        <f aca="false">I6*12</f>
        <v>0</v>
      </c>
      <c r="L6" s="41" t="n">
        <f aca="false">C6*Inputs!$E$6+D6*Inputs!$E$7+E6*Inputs!$E$8+F6*Inputs!$E$9</f>
        <v>0</v>
      </c>
      <c r="M6" s="56" t="n">
        <f aca="false">L6/Capacity!$B$15</f>
        <v>0</v>
      </c>
    </row>
    <row r="7" customFormat="false" ht="15" hidden="false" customHeight="false" outlineLevel="0" collapsed="false">
      <c r="A7" s="53" t="n">
        <v>3</v>
      </c>
      <c r="B7" s="26" t="s">
        <v>180</v>
      </c>
      <c r="C7" s="54" t="n">
        <v>0</v>
      </c>
      <c r="D7" s="54" t="n">
        <v>1</v>
      </c>
      <c r="E7" s="54" t="n">
        <v>0</v>
      </c>
      <c r="F7" s="54" t="n">
        <v>0</v>
      </c>
      <c r="G7" s="42" t="n">
        <f aca="false">C7*Inputs!$B$6+D7*Inputs!$B$7+E7*Inputs!$B$8+F7*Inputs!$B$9</f>
        <v>2500</v>
      </c>
      <c r="H7" s="42" t="n">
        <f aca="false">IF(A7&gt;=Inputs!$B$37,Inputs!$B$33*Inputs!$B$34+Inputs!$B$35/3*Inputs!$B$36,0)</f>
        <v>1830.33333333333</v>
      </c>
      <c r="I7" s="55" t="n">
        <f aca="false">G7+H7</f>
        <v>4330.33333333333</v>
      </c>
      <c r="J7" s="43" t="n">
        <f aca="false">J6+I7</f>
        <v>4330.33333333333</v>
      </c>
      <c r="K7" s="43" t="n">
        <f aca="false">I7*12</f>
        <v>51964</v>
      </c>
      <c r="L7" s="41" t="n">
        <f aca="false">C7*Inputs!$E$6+D7*Inputs!$E$7+E7*Inputs!$E$8+F7*Inputs!$E$9</f>
        <v>7.8</v>
      </c>
      <c r="M7" s="56" t="n">
        <f aca="false">L7/Capacity!$B$15</f>
        <v>0.084051724137931</v>
      </c>
    </row>
    <row r="8" customFormat="false" ht="15" hidden="false" customHeight="false" outlineLevel="0" collapsed="false">
      <c r="A8" s="53" t="n">
        <v>4</v>
      </c>
      <c r="B8" s="26" t="s">
        <v>181</v>
      </c>
      <c r="C8" s="54" t="n">
        <v>0</v>
      </c>
      <c r="D8" s="54" t="n">
        <v>1</v>
      </c>
      <c r="E8" s="54" t="n">
        <v>0</v>
      </c>
      <c r="F8" s="54" t="n">
        <v>0</v>
      </c>
      <c r="G8" s="42" t="n">
        <f aca="false">C8*Inputs!$B$6+D8*Inputs!$B$7+E8*Inputs!$B$8+F8*Inputs!$B$9</f>
        <v>2500</v>
      </c>
      <c r="H8" s="42" t="n">
        <f aca="false">IF(A8&gt;=Inputs!$B$37,Inputs!$B$33*Inputs!$B$34+Inputs!$B$35/3*Inputs!$B$36,0)</f>
        <v>1830.33333333333</v>
      </c>
      <c r="I8" s="55" t="n">
        <f aca="false">G8+H8</f>
        <v>4330.33333333333</v>
      </c>
      <c r="J8" s="43" t="n">
        <f aca="false">J7+I8</f>
        <v>8660.66666666667</v>
      </c>
      <c r="K8" s="43" t="n">
        <f aca="false">I8*12</f>
        <v>51964</v>
      </c>
      <c r="L8" s="41" t="n">
        <f aca="false">C8*Inputs!$E$6+D8*Inputs!$E$7+E8*Inputs!$E$8+F8*Inputs!$E$9</f>
        <v>7.8</v>
      </c>
      <c r="M8" s="56" t="n">
        <f aca="false">L8/Capacity!$B$15</f>
        <v>0.084051724137931</v>
      </c>
    </row>
    <row r="9" customFormat="false" ht="15" hidden="false" customHeight="false" outlineLevel="0" collapsed="false">
      <c r="A9" s="53" t="n">
        <v>5</v>
      </c>
      <c r="B9" s="26" t="s">
        <v>182</v>
      </c>
      <c r="C9" s="54" t="n">
        <v>0</v>
      </c>
      <c r="D9" s="54" t="n">
        <v>1</v>
      </c>
      <c r="E9" s="54" t="n">
        <v>0</v>
      </c>
      <c r="F9" s="54" t="n">
        <v>0</v>
      </c>
      <c r="G9" s="42" t="n">
        <f aca="false">C9*Inputs!$B$6+D9*Inputs!$B$7+E9*Inputs!$B$8+F9*Inputs!$B$9</f>
        <v>2500</v>
      </c>
      <c r="H9" s="42" t="n">
        <f aca="false">IF(A9&gt;=Inputs!$B$37,Inputs!$B$33*Inputs!$B$34+Inputs!$B$35/3*Inputs!$B$36,0)</f>
        <v>1830.33333333333</v>
      </c>
      <c r="I9" s="55" t="n">
        <f aca="false">G9+H9</f>
        <v>4330.33333333333</v>
      </c>
      <c r="J9" s="43" t="n">
        <f aca="false">J8+I9</f>
        <v>12991</v>
      </c>
      <c r="K9" s="43" t="n">
        <f aca="false">I9*12</f>
        <v>51964</v>
      </c>
      <c r="L9" s="41" t="n">
        <f aca="false">C9*Inputs!$E$6+D9*Inputs!$E$7+E9*Inputs!$E$8+F9*Inputs!$E$9</f>
        <v>7.8</v>
      </c>
      <c r="M9" s="56" t="n">
        <f aca="false">L9/Capacity!$B$15</f>
        <v>0.084051724137931</v>
      </c>
    </row>
    <row r="10" customFormat="false" ht="15" hidden="false" customHeight="false" outlineLevel="0" collapsed="false">
      <c r="A10" s="53" t="n">
        <v>6</v>
      </c>
      <c r="B10" s="26" t="s">
        <v>183</v>
      </c>
      <c r="C10" s="54" t="n">
        <v>0</v>
      </c>
      <c r="D10" s="54" t="n">
        <v>1</v>
      </c>
      <c r="E10" s="54" t="n">
        <v>1</v>
      </c>
      <c r="F10" s="54" t="n">
        <v>0</v>
      </c>
      <c r="G10" s="42" t="n">
        <f aca="false">C10*Inputs!$B$6+D10*Inputs!$B$7+E10*Inputs!$B$8+F10*Inputs!$B$9</f>
        <v>6500</v>
      </c>
      <c r="H10" s="42" t="n">
        <f aca="false">IF(A10&gt;=Inputs!$B$37,Inputs!$B$33*Inputs!$B$34+Inputs!$B$35/3*Inputs!$B$36,0)</f>
        <v>1830.33333333333</v>
      </c>
      <c r="I10" s="55" t="n">
        <f aca="false">G10+H10</f>
        <v>8330.33333333333</v>
      </c>
      <c r="J10" s="43" t="n">
        <f aca="false">J9+I10</f>
        <v>21321.3333333333</v>
      </c>
      <c r="K10" s="43" t="n">
        <f aca="false">I10*12</f>
        <v>99964</v>
      </c>
      <c r="L10" s="41" t="n">
        <f aca="false">C10*Inputs!$E$6+D10*Inputs!$E$7+E10*Inputs!$E$8+F10*Inputs!$E$9</f>
        <v>21.3</v>
      </c>
      <c r="M10" s="56" t="n">
        <f aca="false">L10/Capacity!$B$15</f>
        <v>0.229525862068966</v>
      </c>
    </row>
    <row r="11" customFormat="false" ht="15" hidden="false" customHeight="false" outlineLevel="0" collapsed="false">
      <c r="A11" s="53" t="n">
        <v>7</v>
      </c>
      <c r="B11" s="26" t="s">
        <v>184</v>
      </c>
      <c r="C11" s="54" t="n">
        <v>0</v>
      </c>
      <c r="D11" s="54" t="n">
        <v>1</v>
      </c>
      <c r="E11" s="54" t="n">
        <v>1</v>
      </c>
      <c r="F11" s="54" t="n">
        <v>0</v>
      </c>
      <c r="G11" s="42" t="n">
        <f aca="false">C11*Inputs!$B$6+D11*Inputs!$B$7+E11*Inputs!$B$8+F11*Inputs!$B$9</f>
        <v>6500</v>
      </c>
      <c r="H11" s="42" t="n">
        <f aca="false">IF(A11&gt;=Inputs!$B$37,Inputs!$B$33*Inputs!$B$34+Inputs!$B$35/3*Inputs!$B$36,0)</f>
        <v>1830.33333333333</v>
      </c>
      <c r="I11" s="55" t="n">
        <f aca="false">G11+H11</f>
        <v>8330.33333333333</v>
      </c>
      <c r="J11" s="43" t="n">
        <f aca="false">J10+I11</f>
        <v>29651.6666666667</v>
      </c>
      <c r="K11" s="43" t="n">
        <f aca="false">I11*12</f>
        <v>99964</v>
      </c>
      <c r="L11" s="41" t="n">
        <f aca="false">C11*Inputs!$E$6+D11*Inputs!$E$7+E11*Inputs!$E$8+F11*Inputs!$E$9</f>
        <v>21.3</v>
      </c>
      <c r="M11" s="56" t="n">
        <f aca="false">L11/Capacity!$B$15</f>
        <v>0.229525862068966</v>
      </c>
    </row>
    <row r="12" customFormat="false" ht="15" hidden="false" customHeight="false" outlineLevel="0" collapsed="false">
      <c r="A12" s="53" t="n">
        <v>8</v>
      </c>
      <c r="B12" s="26" t="s">
        <v>185</v>
      </c>
      <c r="C12" s="54" t="n">
        <v>0</v>
      </c>
      <c r="D12" s="54" t="n">
        <v>1</v>
      </c>
      <c r="E12" s="54" t="n">
        <v>1</v>
      </c>
      <c r="F12" s="54" t="n">
        <v>0</v>
      </c>
      <c r="G12" s="42" t="n">
        <f aca="false">C12*Inputs!$B$6+D12*Inputs!$B$7+E12*Inputs!$B$8+F12*Inputs!$B$9</f>
        <v>6500</v>
      </c>
      <c r="H12" s="42" t="n">
        <f aca="false">IF(A12&gt;=Inputs!$B$37,Inputs!$B$33*Inputs!$B$34+Inputs!$B$35/3*Inputs!$B$36,0)</f>
        <v>1830.33333333333</v>
      </c>
      <c r="I12" s="55" t="n">
        <f aca="false">G12+H12</f>
        <v>8330.33333333333</v>
      </c>
      <c r="J12" s="43" t="n">
        <f aca="false">J11+I12</f>
        <v>37982</v>
      </c>
      <c r="K12" s="43" t="n">
        <f aca="false">I12*12</f>
        <v>99964</v>
      </c>
      <c r="L12" s="41" t="n">
        <f aca="false">C12*Inputs!$E$6+D12*Inputs!$E$7+E12*Inputs!$E$8+F12*Inputs!$E$9</f>
        <v>21.3</v>
      </c>
      <c r="M12" s="56" t="n">
        <f aca="false">L12/Capacity!$B$15</f>
        <v>0.229525862068966</v>
      </c>
    </row>
    <row r="13" customFormat="false" ht="15" hidden="false" customHeight="false" outlineLevel="0" collapsed="false">
      <c r="A13" s="53" t="n">
        <v>9</v>
      </c>
      <c r="B13" s="26" t="s">
        <v>186</v>
      </c>
      <c r="C13" s="54" t="n">
        <v>0</v>
      </c>
      <c r="D13" s="54" t="n">
        <v>1</v>
      </c>
      <c r="E13" s="54" t="n">
        <v>1</v>
      </c>
      <c r="F13" s="54" t="n">
        <v>0</v>
      </c>
      <c r="G13" s="42" t="n">
        <f aca="false">C13*Inputs!$B$6+D13*Inputs!$B$7+E13*Inputs!$B$8+F13*Inputs!$B$9</f>
        <v>6500</v>
      </c>
      <c r="H13" s="42" t="n">
        <f aca="false">IF(A13&gt;=Inputs!$B$37,Inputs!$B$33*Inputs!$B$34+Inputs!$B$35/3*Inputs!$B$36,0)</f>
        <v>1830.33333333333</v>
      </c>
      <c r="I13" s="55" t="n">
        <f aca="false">G13+H13</f>
        <v>8330.33333333333</v>
      </c>
      <c r="J13" s="43" t="n">
        <f aca="false">J12+I13</f>
        <v>46312.3333333333</v>
      </c>
      <c r="K13" s="43" t="n">
        <f aca="false">I13*12</f>
        <v>99964</v>
      </c>
      <c r="L13" s="41" t="n">
        <f aca="false">C13*Inputs!$E$6+D13*Inputs!$E$7+E13*Inputs!$E$8+F13*Inputs!$E$9</f>
        <v>21.3</v>
      </c>
      <c r="M13" s="56" t="n">
        <f aca="false">L13/Capacity!$B$15</f>
        <v>0.229525862068966</v>
      </c>
    </row>
    <row r="14" customFormat="false" ht="15" hidden="false" customHeight="false" outlineLevel="0" collapsed="false">
      <c r="A14" s="53" t="n">
        <v>10</v>
      </c>
      <c r="B14" s="26" t="s">
        <v>187</v>
      </c>
      <c r="C14" s="54" t="n">
        <v>0</v>
      </c>
      <c r="D14" s="54" t="n">
        <v>1</v>
      </c>
      <c r="E14" s="54" t="n">
        <v>2</v>
      </c>
      <c r="F14" s="54" t="n">
        <v>0</v>
      </c>
      <c r="G14" s="42" t="n">
        <f aca="false">C14*Inputs!$B$6+D14*Inputs!$B$7+E14*Inputs!$B$8+F14*Inputs!$B$9</f>
        <v>10500</v>
      </c>
      <c r="H14" s="42" t="n">
        <f aca="false">IF(A14&gt;=Inputs!$B$37,Inputs!$B$33*Inputs!$B$34+Inputs!$B$35/3*Inputs!$B$36,0)</f>
        <v>1830.33333333333</v>
      </c>
      <c r="I14" s="55" t="n">
        <f aca="false">G14+H14</f>
        <v>12330.3333333333</v>
      </c>
      <c r="J14" s="43" t="n">
        <f aca="false">J13+I14</f>
        <v>58642.6666666667</v>
      </c>
      <c r="K14" s="43" t="n">
        <f aca="false">I14*12</f>
        <v>147964</v>
      </c>
      <c r="L14" s="41" t="n">
        <f aca="false">C14*Inputs!$E$6+D14*Inputs!$E$7+E14*Inputs!$E$8+F14*Inputs!$E$9</f>
        <v>34.8</v>
      </c>
      <c r="M14" s="56" t="n">
        <f aca="false">L14/Capacity!$B$15</f>
        <v>0.375</v>
      </c>
    </row>
    <row r="15" customFormat="false" ht="15" hidden="false" customHeight="false" outlineLevel="0" collapsed="false">
      <c r="A15" s="53" t="n">
        <v>11</v>
      </c>
      <c r="B15" s="26" t="s">
        <v>188</v>
      </c>
      <c r="C15" s="54" t="n">
        <v>0</v>
      </c>
      <c r="D15" s="54" t="n">
        <v>1</v>
      </c>
      <c r="E15" s="54" t="n">
        <v>2</v>
      </c>
      <c r="F15" s="54" t="n">
        <v>0</v>
      </c>
      <c r="G15" s="42" t="n">
        <f aca="false">C15*Inputs!$B$6+D15*Inputs!$B$7+E15*Inputs!$B$8+F15*Inputs!$B$9</f>
        <v>10500</v>
      </c>
      <c r="H15" s="42" t="n">
        <f aca="false">IF(A15&gt;=Inputs!$B$37,Inputs!$B$33*Inputs!$B$34+Inputs!$B$35/3*Inputs!$B$36,0)</f>
        <v>1830.33333333333</v>
      </c>
      <c r="I15" s="55" t="n">
        <f aca="false">G15+H15</f>
        <v>12330.3333333333</v>
      </c>
      <c r="J15" s="43" t="n">
        <f aca="false">J14+I15</f>
        <v>70973</v>
      </c>
      <c r="K15" s="43" t="n">
        <f aca="false">I15*12</f>
        <v>147964</v>
      </c>
      <c r="L15" s="41" t="n">
        <f aca="false">C15*Inputs!$E$6+D15*Inputs!$E$7+E15*Inputs!$E$8+F15*Inputs!$E$9</f>
        <v>34.8</v>
      </c>
      <c r="M15" s="56" t="n">
        <f aca="false">L15/Capacity!$B$15</f>
        <v>0.375</v>
      </c>
    </row>
    <row r="16" customFormat="false" ht="15" hidden="false" customHeight="false" outlineLevel="0" collapsed="false">
      <c r="A16" s="53" t="n">
        <v>12</v>
      </c>
      <c r="B16" s="26" t="s">
        <v>189</v>
      </c>
      <c r="C16" s="54" t="n">
        <v>0</v>
      </c>
      <c r="D16" s="54" t="n">
        <v>1</v>
      </c>
      <c r="E16" s="54" t="n">
        <v>2</v>
      </c>
      <c r="F16" s="54" t="n">
        <v>0</v>
      </c>
      <c r="G16" s="42" t="n">
        <f aca="false">C16*Inputs!$B$6+D16*Inputs!$B$7+E16*Inputs!$B$8+F16*Inputs!$B$9</f>
        <v>10500</v>
      </c>
      <c r="H16" s="42" t="n">
        <f aca="false">IF(A16&gt;=Inputs!$B$37,Inputs!$B$33*Inputs!$B$34+Inputs!$B$35/3*Inputs!$B$36,0)</f>
        <v>1830.33333333333</v>
      </c>
      <c r="I16" s="55" t="n">
        <f aca="false">G16+H16</f>
        <v>12330.3333333333</v>
      </c>
      <c r="J16" s="43" t="n">
        <f aca="false">J15+I16</f>
        <v>83303.3333333333</v>
      </c>
      <c r="K16" s="43" t="n">
        <f aca="false">I16*12</f>
        <v>147964</v>
      </c>
      <c r="L16" s="41" t="n">
        <f aca="false">C16*Inputs!$E$6+D16*Inputs!$E$7+E16*Inputs!$E$8+F16*Inputs!$E$9</f>
        <v>34.8</v>
      </c>
      <c r="M16" s="56" t="n">
        <f aca="false">L16/Capacity!$B$15</f>
        <v>0.375</v>
      </c>
    </row>
    <row r="17" customFormat="false" ht="15" hidden="false" customHeight="false" outlineLevel="0" collapsed="false">
      <c r="A17" s="53" t="n">
        <v>13</v>
      </c>
      <c r="B17" s="26" t="s">
        <v>190</v>
      </c>
      <c r="C17" s="54" t="n">
        <v>0</v>
      </c>
      <c r="D17" s="54" t="n">
        <v>1</v>
      </c>
      <c r="E17" s="54" t="n">
        <v>2</v>
      </c>
      <c r="F17" s="54" t="n">
        <v>0</v>
      </c>
      <c r="G17" s="42" t="n">
        <f aca="false">C17*Inputs!$B$6+D17*Inputs!$B$7+E17*Inputs!$B$8+F17*Inputs!$B$9</f>
        <v>10500</v>
      </c>
      <c r="H17" s="42" t="n">
        <f aca="false">IF(A17&gt;=Inputs!$B$37,Inputs!$B$33*Inputs!$B$34+Inputs!$B$35/3*Inputs!$B$36,0)</f>
        <v>1830.33333333333</v>
      </c>
      <c r="I17" s="55" t="n">
        <f aca="false">G17+H17</f>
        <v>12330.3333333333</v>
      </c>
      <c r="J17" s="43" t="n">
        <f aca="false">J16+I17</f>
        <v>95633.6666666667</v>
      </c>
      <c r="K17" s="43" t="n">
        <f aca="false">I17*12</f>
        <v>147964</v>
      </c>
      <c r="L17" s="41" t="n">
        <f aca="false">C17*Inputs!$E$6+D17*Inputs!$E$7+E17*Inputs!$E$8+F17*Inputs!$E$9</f>
        <v>34.8</v>
      </c>
      <c r="M17" s="56" t="n">
        <f aca="false">L17/Capacity!$B$15</f>
        <v>0.375</v>
      </c>
    </row>
    <row r="18" customFormat="false" ht="15" hidden="false" customHeight="false" outlineLevel="0" collapsed="false">
      <c r="A18" s="53" t="n">
        <v>14</v>
      </c>
      <c r="B18" s="26" t="s">
        <v>191</v>
      </c>
      <c r="C18" s="54" t="n">
        <v>0</v>
      </c>
      <c r="D18" s="54" t="n">
        <v>1</v>
      </c>
      <c r="E18" s="54" t="n">
        <v>2</v>
      </c>
      <c r="F18" s="54" t="n">
        <v>0</v>
      </c>
      <c r="G18" s="42" t="n">
        <f aca="false">C18*Inputs!$B$6+D18*Inputs!$B$7+E18*Inputs!$B$8+F18*Inputs!$B$9</f>
        <v>10500</v>
      </c>
      <c r="H18" s="42" t="n">
        <f aca="false">IF(A18&gt;=Inputs!$B$37,Inputs!$B$33*Inputs!$B$34+Inputs!$B$35/3*Inputs!$B$36,0)</f>
        <v>1830.33333333333</v>
      </c>
      <c r="I18" s="55" t="n">
        <f aca="false">G18+H18</f>
        <v>12330.3333333333</v>
      </c>
      <c r="J18" s="43" t="n">
        <f aca="false">J17+I18</f>
        <v>107964</v>
      </c>
      <c r="K18" s="43" t="n">
        <f aca="false">I18*12</f>
        <v>147964</v>
      </c>
      <c r="L18" s="41" t="n">
        <f aca="false">C18*Inputs!$E$6+D18*Inputs!$E$7+E18*Inputs!$E$8+F18*Inputs!$E$9</f>
        <v>34.8</v>
      </c>
      <c r="M18" s="56" t="n">
        <f aca="false">L18/Capacity!$B$15</f>
        <v>0.375</v>
      </c>
    </row>
    <row r="19" customFormat="false" ht="15" hidden="false" customHeight="false" outlineLevel="0" collapsed="false">
      <c r="A19" s="53" t="n">
        <v>15</v>
      </c>
      <c r="B19" s="26" t="s">
        <v>192</v>
      </c>
      <c r="C19" s="54" t="n">
        <v>0</v>
      </c>
      <c r="D19" s="54" t="n">
        <v>1</v>
      </c>
      <c r="E19" s="54" t="n">
        <v>2</v>
      </c>
      <c r="F19" s="54" t="n">
        <v>0</v>
      </c>
      <c r="G19" s="42" t="n">
        <f aca="false">C19*Inputs!$B$6+D19*Inputs!$B$7+E19*Inputs!$B$8+F19*Inputs!$B$9</f>
        <v>10500</v>
      </c>
      <c r="H19" s="42" t="n">
        <f aca="false">IF(A19&gt;=Inputs!$B$37,Inputs!$B$33*Inputs!$B$34+Inputs!$B$35/3*Inputs!$B$36,0)</f>
        <v>1830.33333333333</v>
      </c>
      <c r="I19" s="55" t="n">
        <f aca="false">G19+H19</f>
        <v>12330.3333333333</v>
      </c>
      <c r="J19" s="43" t="n">
        <f aca="false">J18+I19</f>
        <v>120294.333333333</v>
      </c>
      <c r="K19" s="43" t="n">
        <f aca="false">I19*12</f>
        <v>147964</v>
      </c>
      <c r="L19" s="41" t="n">
        <f aca="false">C19*Inputs!$E$6+D19*Inputs!$E$7+E19*Inputs!$E$8+F19*Inputs!$E$9</f>
        <v>34.8</v>
      </c>
      <c r="M19" s="56" t="n">
        <f aca="false">L19/Capacity!$B$15</f>
        <v>0.375</v>
      </c>
    </row>
    <row r="20" customFormat="false" ht="15" hidden="false" customHeight="false" outlineLevel="0" collapsed="false">
      <c r="A20" s="53" t="n">
        <v>16</v>
      </c>
      <c r="B20" s="26" t="s">
        <v>193</v>
      </c>
      <c r="C20" s="54" t="n">
        <v>0</v>
      </c>
      <c r="D20" s="54" t="n">
        <v>1</v>
      </c>
      <c r="E20" s="54" t="n">
        <v>1</v>
      </c>
      <c r="F20" s="54" t="n">
        <v>1</v>
      </c>
      <c r="G20" s="42" t="n">
        <f aca="false">C20*Inputs!$B$6+D20*Inputs!$B$7+E20*Inputs!$B$8+F20*Inputs!$B$9</f>
        <v>12500</v>
      </c>
      <c r="H20" s="42" t="n">
        <f aca="false">IF(A20&gt;=Inputs!$B$37,Inputs!$B$33*Inputs!$B$34+Inputs!$B$35/3*Inputs!$B$36,0)</f>
        <v>1830.33333333333</v>
      </c>
      <c r="I20" s="55" t="n">
        <f aca="false">G20+H20</f>
        <v>14330.3333333333</v>
      </c>
      <c r="J20" s="43" t="n">
        <f aca="false">J19+I20</f>
        <v>134624.666666667</v>
      </c>
      <c r="K20" s="43" t="n">
        <f aca="false">I20*12</f>
        <v>171964</v>
      </c>
      <c r="L20" s="41" t="n">
        <f aca="false">C20*Inputs!$E$6+D20*Inputs!$E$7+E20*Inputs!$E$8+F20*Inputs!$E$9</f>
        <v>47.55</v>
      </c>
      <c r="M20" s="56" t="n">
        <f aca="false">L20/Capacity!$B$15</f>
        <v>0.51239224137931</v>
      </c>
    </row>
    <row r="21" customFormat="false" ht="15" hidden="false" customHeight="false" outlineLevel="0" collapsed="false">
      <c r="A21" s="53" t="n">
        <v>17</v>
      </c>
      <c r="B21" s="26" t="s">
        <v>194</v>
      </c>
      <c r="C21" s="54" t="n">
        <v>0</v>
      </c>
      <c r="D21" s="54" t="n">
        <v>1</v>
      </c>
      <c r="E21" s="54" t="n">
        <v>1</v>
      </c>
      <c r="F21" s="54" t="n">
        <v>1</v>
      </c>
      <c r="G21" s="42" t="n">
        <f aca="false">C21*Inputs!$B$6+D21*Inputs!$B$7+E21*Inputs!$B$8+F21*Inputs!$B$9</f>
        <v>12500</v>
      </c>
      <c r="H21" s="42" t="n">
        <f aca="false">IF(A21&gt;=Inputs!$B$37,Inputs!$B$33*Inputs!$B$34+Inputs!$B$35/3*Inputs!$B$36,0)</f>
        <v>1830.33333333333</v>
      </c>
      <c r="I21" s="55" t="n">
        <f aca="false">G21+H21</f>
        <v>14330.3333333333</v>
      </c>
      <c r="J21" s="43" t="n">
        <f aca="false">J20+I21</f>
        <v>148955</v>
      </c>
      <c r="K21" s="43" t="n">
        <f aca="false">I21*12</f>
        <v>171964</v>
      </c>
      <c r="L21" s="41" t="n">
        <f aca="false">C21*Inputs!$E$6+D21*Inputs!$E$7+E21*Inputs!$E$8+F21*Inputs!$E$9</f>
        <v>47.55</v>
      </c>
      <c r="M21" s="56" t="n">
        <f aca="false">L21/Capacity!$B$15</f>
        <v>0.51239224137931</v>
      </c>
    </row>
    <row r="22" customFormat="false" ht="15" hidden="false" customHeight="false" outlineLevel="0" collapsed="false">
      <c r="A22" s="53" t="n">
        <v>18</v>
      </c>
      <c r="B22" s="26" t="s">
        <v>195</v>
      </c>
      <c r="C22" s="54" t="n">
        <v>0</v>
      </c>
      <c r="D22" s="54" t="n">
        <v>1</v>
      </c>
      <c r="E22" s="54" t="n">
        <v>1</v>
      </c>
      <c r="F22" s="54" t="n">
        <v>1</v>
      </c>
      <c r="G22" s="42" t="n">
        <f aca="false">C22*Inputs!$B$6+D22*Inputs!$B$7+E22*Inputs!$B$8+F22*Inputs!$B$9</f>
        <v>12500</v>
      </c>
      <c r="H22" s="42" t="n">
        <f aca="false">IF(A22&gt;=Inputs!$B$37,Inputs!$B$33*Inputs!$B$34+Inputs!$B$35/3*Inputs!$B$36,0)</f>
        <v>1830.33333333333</v>
      </c>
      <c r="I22" s="55" t="n">
        <f aca="false">G22+H22</f>
        <v>14330.3333333333</v>
      </c>
      <c r="J22" s="43" t="n">
        <f aca="false">J21+I22</f>
        <v>163285.333333333</v>
      </c>
      <c r="K22" s="43" t="n">
        <f aca="false">I22*12</f>
        <v>171964</v>
      </c>
      <c r="L22" s="41" t="n">
        <f aca="false">C22*Inputs!$E$6+D22*Inputs!$E$7+E22*Inputs!$E$8+F22*Inputs!$E$9</f>
        <v>47.55</v>
      </c>
      <c r="M22" s="56" t="n">
        <f aca="false">L22/Capacity!$B$15</f>
        <v>0.51239224137931</v>
      </c>
    </row>
    <row r="23" customFormat="false" ht="15" hidden="false" customHeight="false" outlineLevel="0" collapsed="false">
      <c r="A23" s="53" t="n">
        <v>19</v>
      </c>
      <c r="B23" s="26" t="s">
        <v>196</v>
      </c>
      <c r="C23" s="54" t="n">
        <v>0</v>
      </c>
      <c r="D23" s="54" t="n">
        <v>1</v>
      </c>
      <c r="E23" s="54" t="n">
        <v>1</v>
      </c>
      <c r="F23" s="54" t="n">
        <v>1</v>
      </c>
      <c r="G23" s="42" t="n">
        <f aca="false">C23*Inputs!$B$6+D23*Inputs!$B$7+E23*Inputs!$B$8+F23*Inputs!$B$9</f>
        <v>12500</v>
      </c>
      <c r="H23" s="42" t="n">
        <f aca="false">IF(A23&gt;=Inputs!$B$37,Inputs!$B$33*Inputs!$B$34+Inputs!$B$35/3*Inputs!$B$36,0)</f>
        <v>1830.33333333333</v>
      </c>
      <c r="I23" s="55" t="n">
        <f aca="false">G23+H23</f>
        <v>14330.3333333333</v>
      </c>
      <c r="J23" s="43" t="n">
        <f aca="false">J22+I23</f>
        <v>177615.666666667</v>
      </c>
      <c r="K23" s="43" t="n">
        <f aca="false">I23*12</f>
        <v>171964</v>
      </c>
      <c r="L23" s="41" t="n">
        <f aca="false">C23*Inputs!$E$6+D23*Inputs!$E$7+E23*Inputs!$E$8+F23*Inputs!$E$9</f>
        <v>47.55</v>
      </c>
      <c r="M23" s="56" t="n">
        <f aca="false">L23/Capacity!$B$15</f>
        <v>0.51239224137931</v>
      </c>
    </row>
    <row r="24" customFormat="false" ht="15" hidden="false" customHeight="false" outlineLevel="0" collapsed="false">
      <c r="A24" s="53" t="n">
        <v>20</v>
      </c>
      <c r="B24" s="26" t="s">
        <v>197</v>
      </c>
      <c r="C24" s="54" t="n">
        <v>0</v>
      </c>
      <c r="D24" s="54" t="n">
        <v>1</v>
      </c>
      <c r="E24" s="54" t="n">
        <v>1</v>
      </c>
      <c r="F24" s="54" t="n">
        <v>1</v>
      </c>
      <c r="G24" s="42" t="n">
        <f aca="false">C24*Inputs!$B$6+D24*Inputs!$B$7+E24*Inputs!$B$8+F24*Inputs!$B$9</f>
        <v>12500</v>
      </c>
      <c r="H24" s="42" t="n">
        <f aca="false">IF(A24&gt;=Inputs!$B$37,Inputs!$B$33*Inputs!$B$34+Inputs!$B$35/3*Inputs!$B$36,0)</f>
        <v>1830.33333333333</v>
      </c>
      <c r="I24" s="55" t="n">
        <f aca="false">G24+H24</f>
        <v>14330.3333333333</v>
      </c>
      <c r="J24" s="43" t="n">
        <f aca="false">J23+I24</f>
        <v>191946</v>
      </c>
      <c r="K24" s="43" t="n">
        <f aca="false">I24*12</f>
        <v>171964</v>
      </c>
      <c r="L24" s="41" t="n">
        <f aca="false">C24*Inputs!$E$6+D24*Inputs!$E$7+E24*Inputs!$E$8+F24*Inputs!$E$9</f>
        <v>47.55</v>
      </c>
      <c r="M24" s="56" t="n">
        <f aca="false">L24/Capacity!$B$15</f>
        <v>0.51239224137931</v>
      </c>
    </row>
    <row r="25" customFormat="false" ht="15" hidden="false" customHeight="false" outlineLevel="0" collapsed="false">
      <c r="B25" s="4" t="s">
        <v>198</v>
      </c>
      <c r="G25" s="57" t="n">
        <f aca="false">G24</f>
        <v>12500</v>
      </c>
      <c r="H25" s="57" t="n">
        <f aca="false">SUM(H5:H24)</f>
        <v>32946</v>
      </c>
      <c r="I25" s="57" t="n">
        <f aca="false">SUM(I5:I24)</f>
        <v>191946</v>
      </c>
      <c r="J25" s="57" t="n">
        <f aca="false">J24</f>
        <v>191946</v>
      </c>
      <c r="K25" s="57" t="n">
        <f aca="false">K24</f>
        <v>171964</v>
      </c>
    </row>
    <row r="27" customFormat="false" ht="15" hidden="false" customHeight="false" outlineLevel="0" collapsed="false">
      <c r="B27" s="4" t="s">
        <v>199</v>
      </c>
      <c r="C27" s="15" t="n">
        <v>150000</v>
      </c>
    </row>
    <row r="28" customFormat="false" ht="15" hidden="false" customHeight="false" outlineLevel="0" collapsed="false">
      <c r="B28" s="4" t="s">
        <v>200</v>
      </c>
      <c r="C28" s="58" t="n">
        <f aca="false">K24</f>
        <v>171964</v>
      </c>
    </row>
    <row r="29" customFormat="false" ht="15" hidden="false" customHeight="false" outlineLevel="0" collapsed="false">
      <c r="B29" s="4" t="s">
        <v>201</v>
      </c>
      <c r="C29" s="59" t="n">
        <f aca="false">C28-C27</f>
        <v>21964</v>
      </c>
    </row>
    <row r="30" customFormat="false" ht="15" hidden="false" customHeight="false" outlineLevel="0" collapsed="false">
      <c r="B30" s="4" t="s">
        <v>202</v>
      </c>
      <c r="C30" s="52" t="n">
        <f aca="false">C28/C27</f>
        <v>1.14642666666667</v>
      </c>
    </row>
  </sheetData>
  <mergeCells count="2">
    <mergeCell ref="A1:M1"/>
    <mergeCell ref="A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3"/>
    <col collapsed="false" customWidth="true" hidden="false" outlineLevel="0" max="14" min="3" style="0" width="14"/>
  </cols>
  <sheetData>
    <row r="1" customFormat="false" ht="19.7" hidden="false" customHeight="false" outlineLevel="0" collapsed="false">
      <c r="A1" s="1" t="s">
        <v>203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false" outlineLevel="0" collapsed="false">
      <c r="A2" s="2" t="s">
        <v>204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31.5" hidden="false" customHeight="true" outlineLevel="0" collapsed="false">
      <c r="A4" s="60" t="s">
        <v>169</v>
      </c>
      <c r="B4" s="60" t="s">
        <v>170</v>
      </c>
      <c r="C4" s="60" t="s">
        <v>205</v>
      </c>
      <c r="D4" s="60" t="s">
        <v>206</v>
      </c>
      <c r="E4" s="60" t="s">
        <v>207</v>
      </c>
      <c r="F4" s="60" t="s">
        <v>208</v>
      </c>
      <c r="G4" s="60" t="s">
        <v>209</v>
      </c>
      <c r="H4" s="60" t="s">
        <v>210</v>
      </c>
      <c r="I4" s="60" t="s">
        <v>211</v>
      </c>
      <c r="J4" s="60" t="s">
        <v>212</v>
      </c>
      <c r="K4" s="60" t="s">
        <v>213</v>
      </c>
      <c r="L4" s="60" t="s">
        <v>214</v>
      </c>
      <c r="M4" s="60" t="s">
        <v>215</v>
      </c>
      <c r="N4" s="60" t="s">
        <v>216</v>
      </c>
    </row>
    <row r="5" customFormat="false" ht="15" hidden="false" customHeight="false" outlineLevel="0" collapsed="false">
      <c r="A5" s="53" t="n">
        <v>1</v>
      </c>
      <c r="B5" s="26" t="s">
        <v>178</v>
      </c>
      <c r="C5" s="42" t="n">
        <f aca="false">'MRR Ramp'!I5</f>
        <v>0</v>
      </c>
      <c r="D5" s="42" t="n">
        <f aca="false">-Inputs!$B$27</f>
        <v>-600</v>
      </c>
      <c r="E5" s="42" t="n">
        <f aca="false">-MAX(0,(C5+D5))*Inputs!$B$28</f>
        <v>-0</v>
      </c>
      <c r="F5" s="55" t="n">
        <f aca="false">C5+D5+E5</f>
        <v>-600</v>
      </c>
      <c r="G5" s="42" t="n">
        <f aca="false">IF(A5&lt;Inputs!$B$24,Inputs!$B$23,0)</f>
        <v>8000</v>
      </c>
      <c r="H5" s="42" t="n">
        <f aca="false">G5*(1-Inputs!$B$29)</f>
        <v>6240</v>
      </c>
      <c r="I5" s="42" t="n">
        <f aca="false">IF(A5&gt;=Inputs!$B$24,-Inputs!$B$26,0)</f>
        <v>0</v>
      </c>
      <c r="J5" s="42" t="n">
        <f aca="false">-Inputs!$B$25</f>
        <v>-6000</v>
      </c>
      <c r="K5" s="55" t="n">
        <f aca="false">F5+H5+I5+J5</f>
        <v>-360</v>
      </c>
      <c r="L5" s="55" t="n">
        <f aca="false">Inputs!$B$30+K5</f>
        <v>19640</v>
      </c>
      <c r="M5" s="61" t="str">
        <f aca="false">IF(A5=Inputs!$B$24,IF('MRR Ramp'!G5&gt;=Inputs!$B$40,"YES","NO"),"")</f>
        <v/>
      </c>
      <c r="N5" s="61" t="str">
        <f aca="false">IF(A5=Inputs!$B$24,IF(L5&gt;=Inputs!$B$25*Inputs!$B$41,"YES","NO"),"")</f>
        <v/>
      </c>
    </row>
    <row r="6" customFormat="false" ht="15" hidden="false" customHeight="false" outlineLevel="0" collapsed="false">
      <c r="A6" s="53" t="n">
        <v>2</v>
      </c>
      <c r="B6" s="26" t="s">
        <v>179</v>
      </c>
      <c r="C6" s="42" t="n">
        <f aca="false">'MRR Ramp'!I6</f>
        <v>0</v>
      </c>
      <c r="D6" s="42" t="n">
        <f aca="false">-Inputs!$B$27</f>
        <v>-600</v>
      </c>
      <c r="E6" s="42" t="n">
        <f aca="false">-MAX(0,(C6+D6))*Inputs!$B$28</f>
        <v>-0</v>
      </c>
      <c r="F6" s="55" t="n">
        <f aca="false">C6+D6+E6</f>
        <v>-600</v>
      </c>
      <c r="G6" s="42" t="n">
        <f aca="false">IF(A6&lt;Inputs!$B$24,Inputs!$B$23,0)</f>
        <v>8000</v>
      </c>
      <c r="H6" s="42" t="n">
        <f aca="false">G6*(1-Inputs!$B$29)</f>
        <v>6240</v>
      </c>
      <c r="I6" s="42" t="n">
        <f aca="false">IF(A6&gt;=Inputs!$B$24,-Inputs!$B$26,0)</f>
        <v>0</v>
      </c>
      <c r="J6" s="42" t="n">
        <f aca="false">-Inputs!$B$25</f>
        <v>-6000</v>
      </c>
      <c r="K6" s="55" t="n">
        <f aca="false">F6+H6+I6+J6</f>
        <v>-360</v>
      </c>
      <c r="L6" s="55" t="n">
        <f aca="false">L5+K6</f>
        <v>19280</v>
      </c>
      <c r="M6" s="61" t="str">
        <f aca="false">IF(A6=Inputs!$B$24,IF('MRR Ramp'!G6&gt;=Inputs!$B$40,"YES","NO"),"")</f>
        <v/>
      </c>
      <c r="N6" s="61" t="str">
        <f aca="false">IF(A6=Inputs!$B$24,IF(L6&gt;=Inputs!$B$25*Inputs!$B$41,"YES","NO"),"")</f>
        <v/>
      </c>
    </row>
    <row r="7" customFormat="false" ht="15" hidden="false" customHeight="false" outlineLevel="0" collapsed="false">
      <c r="A7" s="53" t="n">
        <v>3</v>
      </c>
      <c r="B7" s="26" t="s">
        <v>180</v>
      </c>
      <c r="C7" s="42" t="n">
        <f aca="false">'MRR Ramp'!I7</f>
        <v>4330.33333333333</v>
      </c>
      <c r="D7" s="42" t="n">
        <f aca="false">-Inputs!$B$27</f>
        <v>-600</v>
      </c>
      <c r="E7" s="42" t="n">
        <f aca="false">-MAX(0,(C7+D7))*Inputs!$B$28</f>
        <v>-1044.49333333333</v>
      </c>
      <c r="F7" s="55" t="n">
        <f aca="false">C7+D7+E7</f>
        <v>2685.84</v>
      </c>
      <c r="G7" s="42" t="n">
        <f aca="false">IF(A7&lt;Inputs!$B$24,Inputs!$B$23,0)</f>
        <v>8000</v>
      </c>
      <c r="H7" s="42" t="n">
        <f aca="false">G7*(1-Inputs!$B$29)</f>
        <v>6240</v>
      </c>
      <c r="I7" s="42" t="n">
        <f aca="false">IF(A7&gt;=Inputs!$B$24,-Inputs!$B$26,0)</f>
        <v>0</v>
      </c>
      <c r="J7" s="42" t="n">
        <f aca="false">-Inputs!$B$25</f>
        <v>-6000</v>
      </c>
      <c r="K7" s="55" t="n">
        <f aca="false">F7+H7+I7+J7</f>
        <v>2925.84</v>
      </c>
      <c r="L7" s="55" t="n">
        <f aca="false">L6+K7</f>
        <v>22205.84</v>
      </c>
      <c r="M7" s="61" t="str">
        <f aca="false">IF(A7=Inputs!$B$24,IF('MRR Ramp'!G7&gt;=Inputs!$B$40,"YES","NO"),"")</f>
        <v/>
      </c>
      <c r="N7" s="61" t="str">
        <f aca="false">IF(A7=Inputs!$B$24,IF(L7&gt;=Inputs!$B$25*Inputs!$B$41,"YES","NO"),"")</f>
        <v/>
      </c>
    </row>
    <row r="8" customFormat="false" ht="15" hidden="false" customHeight="false" outlineLevel="0" collapsed="false">
      <c r="A8" s="53" t="n">
        <v>4</v>
      </c>
      <c r="B8" s="26" t="s">
        <v>181</v>
      </c>
      <c r="C8" s="42" t="n">
        <f aca="false">'MRR Ramp'!I8</f>
        <v>4330.33333333333</v>
      </c>
      <c r="D8" s="42" t="n">
        <f aca="false">-Inputs!$B$27</f>
        <v>-600</v>
      </c>
      <c r="E8" s="42" t="n">
        <f aca="false">-MAX(0,(C8+D8))*Inputs!$B$28</f>
        <v>-1044.49333333333</v>
      </c>
      <c r="F8" s="55" t="n">
        <f aca="false">C8+D8+E8</f>
        <v>2685.84</v>
      </c>
      <c r="G8" s="42" t="n">
        <f aca="false">IF(A8&lt;Inputs!$B$24,Inputs!$B$23,0)</f>
        <v>0</v>
      </c>
      <c r="H8" s="42" t="n">
        <f aca="false">G8*(1-Inputs!$B$29)</f>
        <v>0</v>
      </c>
      <c r="I8" s="42" t="n">
        <f aca="false">IF(A8&gt;=Inputs!$B$24,-Inputs!$B$26,0)</f>
        <v>-800</v>
      </c>
      <c r="J8" s="42" t="n">
        <f aca="false">-Inputs!$B$25</f>
        <v>-6000</v>
      </c>
      <c r="K8" s="55" t="n">
        <f aca="false">F8+H8+I8+J8</f>
        <v>-4114.16</v>
      </c>
      <c r="L8" s="55" t="n">
        <f aca="false">L7+K8</f>
        <v>18091.68</v>
      </c>
      <c r="M8" s="61" t="str">
        <f aca="false">IF(A8=Inputs!$B$24,IF('MRR Ramp'!G8&gt;=Inputs!$B$40,"YES","NO"),"")</f>
        <v>NO</v>
      </c>
      <c r="N8" s="61" t="str">
        <f aca="false">IF(A8=Inputs!$B$24,IF(L8&gt;=Inputs!$B$25*Inputs!$B$41,"YES","NO"),"")</f>
        <v>NO</v>
      </c>
    </row>
    <row r="9" customFormat="false" ht="15" hidden="false" customHeight="false" outlineLevel="0" collapsed="false">
      <c r="A9" s="53" t="n">
        <v>5</v>
      </c>
      <c r="B9" s="26" t="s">
        <v>182</v>
      </c>
      <c r="C9" s="42" t="n">
        <f aca="false">'MRR Ramp'!I9</f>
        <v>4330.33333333333</v>
      </c>
      <c r="D9" s="42" t="n">
        <f aca="false">-Inputs!$B$27</f>
        <v>-600</v>
      </c>
      <c r="E9" s="42" t="n">
        <f aca="false">-MAX(0,(C9+D9))*Inputs!$B$28</f>
        <v>-1044.49333333333</v>
      </c>
      <c r="F9" s="55" t="n">
        <f aca="false">C9+D9+E9</f>
        <v>2685.84</v>
      </c>
      <c r="G9" s="42" t="n">
        <f aca="false">IF(A9&lt;Inputs!$B$24,Inputs!$B$23,0)</f>
        <v>0</v>
      </c>
      <c r="H9" s="42" t="n">
        <f aca="false">G9*(1-Inputs!$B$29)</f>
        <v>0</v>
      </c>
      <c r="I9" s="42" t="n">
        <f aca="false">IF(A9&gt;=Inputs!$B$24,-Inputs!$B$26,0)</f>
        <v>-800</v>
      </c>
      <c r="J9" s="42" t="n">
        <f aca="false">-Inputs!$B$25</f>
        <v>-6000</v>
      </c>
      <c r="K9" s="55" t="n">
        <f aca="false">F9+H9+I9+J9</f>
        <v>-4114.16</v>
      </c>
      <c r="L9" s="55" t="n">
        <f aca="false">L8+K9</f>
        <v>13977.52</v>
      </c>
      <c r="M9" s="61" t="str">
        <f aca="false">IF(A9=Inputs!$B$24,IF('MRR Ramp'!G9&gt;=Inputs!$B$40,"YES","NO"),"")</f>
        <v/>
      </c>
      <c r="N9" s="61" t="str">
        <f aca="false">IF(A9=Inputs!$B$24,IF(L9&gt;=Inputs!$B$25*Inputs!$B$41,"YES","NO"),"")</f>
        <v/>
      </c>
    </row>
    <row r="10" customFormat="false" ht="15" hidden="false" customHeight="false" outlineLevel="0" collapsed="false">
      <c r="A10" s="53" t="n">
        <v>6</v>
      </c>
      <c r="B10" s="26" t="s">
        <v>183</v>
      </c>
      <c r="C10" s="42" t="n">
        <f aca="false">'MRR Ramp'!I10</f>
        <v>8330.33333333333</v>
      </c>
      <c r="D10" s="42" t="n">
        <f aca="false">-Inputs!$B$27</f>
        <v>-600</v>
      </c>
      <c r="E10" s="42" t="n">
        <f aca="false">-MAX(0,(C10+D10))*Inputs!$B$28</f>
        <v>-2164.49333333333</v>
      </c>
      <c r="F10" s="55" t="n">
        <f aca="false">C10+D10+E10</f>
        <v>5565.84</v>
      </c>
      <c r="G10" s="42" t="n">
        <f aca="false">IF(A10&lt;Inputs!$B$24,Inputs!$B$23,0)</f>
        <v>0</v>
      </c>
      <c r="H10" s="42" t="n">
        <f aca="false">G10*(1-Inputs!$B$29)</f>
        <v>0</v>
      </c>
      <c r="I10" s="42" t="n">
        <f aca="false">IF(A10&gt;=Inputs!$B$24,-Inputs!$B$26,0)</f>
        <v>-800</v>
      </c>
      <c r="J10" s="42" t="n">
        <f aca="false">-Inputs!$B$25</f>
        <v>-6000</v>
      </c>
      <c r="K10" s="55" t="n">
        <f aca="false">F10+H10+I10+J10</f>
        <v>-1234.16</v>
      </c>
      <c r="L10" s="55" t="n">
        <f aca="false">L9+K10</f>
        <v>12743.36</v>
      </c>
      <c r="M10" s="61" t="str">
        <f aca="false">IF(A10=Inputs!$B$24,IF('MRR Ramp'!G10&gt;=Inputs!$B$40,"YES","NO"),"")</f>
        <v/>
      </c>
      <c r="N10" s="61" t="str">
        <f aca="false">IF(A10=Inputs!$B$24,IF(L10&gt;=Inputs!$B$25*Inputs!$B$41,"YES","NO"),"")</f>
        <v/>
      </c>
    </row>
    <row r="11" customFormat="false" ht="15" hidden="false" customHeight="false" outlineLevel="0" collapsed="false">
      <c r="A11" s="53" t="n">
        <v>7</v>
      </c>
      <c r="B11" s="26" t="s">
        <v>184</v>
      </c>
      <c r="C11" s="42" t="n">
        <f aca="false">'MRR Ramp'!I11</f>
        <v>8330.33333333333</v>
      </c>
      <c r="D11" s="42" t="n">
        <f aca="false">-Inputs!$B$27</f>
        <v>-600</v>
      </c>
      <c r="E11" s="42" t="n">
        <f aca="false">-MAX(0,(C11+D11))*Inputs!$B$28</f>
        <v>-2164.49333333333</v>
      </c>
      <c r="F11" s="55" t="n">
        <f aca="false">C11+D11+E11</f>
        <v>5565.84</v>
      </c>
      <c r="G11" s="42" t="n">
        <f aca="false">IF(A11&lt;Inputs!$B$24,Inputs!$B$23,0)</f>
        <v>0</v>
      </c>
      <c r="H11" s="42" t="n">
        <f aca="false">G11*(1-Inputs!$B$29)</f>
        <v>0</v>
      </c>
      <c r="I11" s="42" t="n">
        <f aca="false">IF(A11&gt;=Inputs!$B$24,-Inputs!$B$26,0)</f>
        <v>-800</v>
      </c>
      <c r="J11" s="42" t="n">
        <f aca="false">-Inputs!$B$25</f>
        <v>-6000</v>
      </c>
      <c r="K11" s="55" t="n">
        <f aca="false">F11+H11+I11+J11</f>
        <v>-1234.16</v>
      </c>
      <c r="L11" s="55" t="n">
        <f aca="false">L10+K11</f>
        <v>11509.2</v>
      </c>
      <c r="M11" s="61" t="str">
        <f aca="false">IF(A11=Inputs!$B$24,IF('MRR Ramp'!G11&gt;=Inputs!$B$40,"YES","NO"),"")</f>
        <v/>
      </c>
      <c r="N11" s="61" t="str">
        <f aca="false">IF(A11=Inputs!$B$24,IF(L11&gt;=Inputs!$B$25*Inputs!$B$41,"YES","NO"),"")</f>
        <v/>
      </c>
    </row>
    <row r="12" customFormat="false" ht="15" hidden="false" customHeight="false" outlineLevel="0" collapsed="false">
      <c r="A12" s="53" t="n">
        <v>8</v>
      </c>
      <c r="B12" s="26" t="s">
        <v>185</v>
      </c>
      <c r="C12" s="42" t="n">
        <f aca="false">'MRR Ramp'!I12</f>
        <v>8330.33333333333</v>
      </c>
      <c r="D12" s="42" t="n">
        <f aca="false">-Inputs!$B$27</f>
        <v>-600</v>
      </c>
      <c r="E12" s="42" t="n">
        <f aca="false">-MAX(0,(C12+D12))*Inputs!$B$28</f>
        <v>-2164.49333333333</v>
      </c>
      <c r="F12" s="55" t="n">
        <f aca="false">C12+D12+E12</f>
        <v>5565.84</v>
      </c>
      <c r="G12" s="42" t="n">
        <f aca="false">IF(A12&lt;Inputs!$B$24,Inputs!$B$23,0)</f>
        <v>0</v>
      </c>
      <c r="H12" s="42" t="n">
        <f aca="false">G12*(1-Inputs!$B$29)</f>
        <v>0</v>
      </c>
      <c r="I12" s="42" t="n">
        <f aca="false">IF(A12&gt;=Inputs!$B$24,-Inputs!$B$26,0)</f>
        <v>-800</v>
      </c>
      <c r="J12" s="42" t="n">
        <f aca="false">-Inputs!$B$25</f>
        <v>-6000</v>
      </c>
      <c r="K12" s="55" t="n">
        <f aca="false">F12+H12+I12+J12</f>
        <v>-1234.16</v>
      </c>
      <c r="L12" s="55" t="n">
        <f aca="false">L11+K12</f>
        <v>10275.04</v>
      </c>
      <c r="M12" s="61" t="str">
        <f aca="false">IF(A12=Inputs!$B$24,IF('MRR Ramp'!G12&gt;=Inputs!$B$40,"YES","NO"),"")</f>
        <v/>
      </c>
      <c r="N12" s="61" t="str">
        <f aca="false">IF(A12=Inputs!$B$24,IF(L12&gt;=Inputs!$B$25*Inputs!$B$41,"YES","NO"),"")</f>
        <v/>
      </c>
    </row>
    <row r="13" customFormat="false" ht="15" hidden="false" customHeight="false" outlineLevel="0" collapsed="false">
      <c r="A13" s="53" t="n">
        <v>9</v>
      </c>
      <c r="B13" s="26" t="s">
        <v>186</v>
      </c>
      <c r="C13" s="42" t="n">
        <f aca="false">'MRR Ramp'!I13</f>
        <v>8330.33333333333</v>
      </c>
      <c r="D13" s="42" t="n">
        <f aca="false">-Inputs!$B$27</f>
        <v>-600</v>
      </c>
      <c r="E13" s="42" t="n">
        <f aca="false">-MAX(0,(C13+D13))*Inputs!$B$28</f>
        <v>-2164.49333333333</v>
      </c>
      <c r="F13" s="55" t="n">
        <f aca="false">C13+D13+E13</f>
        <v>5565.84</v>
      </c>
      <c r="G13" s="42" t="n">
        <f aca="false">IF(A13&lt;Inputs!$B$24,Inputs!$B$23,0)</f>
        <v>0</v>
      </c>
      <c r="H13" s="42" t="n">
        <f aca="false">G13*(1-Inputs!$B$29)</f>
        <v>0</v>
      </c>
      <c r="I13" s="42" t="n">
        <f aca="false">IF(A13&gt;=Inputs!$B$24,-Inputs!$B$26,0)</f>
        <v>-800</v>
      </c>
      <c r="J13" s="42" t="n">
        <f aca="false">-Inputs!$B$25</f>
        <v>-6000</v>
      </c>
      <c r="K13" s="55" t="n">
        <f aca="false">F13+H13+I13+J13</f>
        <v>-1234.16</v>
      </c>
      <c r="L13" s="55" t="n">
        <f aca="false">L12+K13</f>
        <v>9040.88</v>
      </c>
      <c r="M13" s="61" t="str">
        <f aca="false">IF(A13=Inputs!$B$24,IF('MRR Ramp'!G13&gt;=Inputs!$B$40,"YES","NO"),"")</f>
        <v/>
      </c>
      <c r="N13" s="61" t="str">
        <f aca="false">IF(A13=Inputs!$B$24,IF(L13&gt;=Inputs!$B$25*Inputs!$B$41,"YES","NO"),"")</f>
        <v/>
      </c>
    </row>
    <row r="14" customFormat="false" ht="15" hidden="false" customHeight="false" outlineLevel="0" collapsed="false">
      <c r="A14" s="53" t="n">
        <v>10</v>
      </c>
      <c r="B14" s="26" t="s">
        <v>187</v>
      </c>
      <c r="C14" s="42" t="n">
        <f aca="false">'MRR Ramp'!I14</f>
        <v>12330.3333333333</v>
      </c>
      <c r="D14" s="42" t="n">
        <f aca="false">-Inputs!$B$27</f>
        <v>-600</v>
      </c>
      <c r="E14" s="42" t="n">
        <f aca="false">-MAX(0,(C14+D14))*Inputs!$B$28</f>
        <v>-3284.49333333333</v>
      </c>
      <c r="F14" s="55" t="n">
        <f aca="false">C14+D14+E14</f>
        <v>8445.84</v>
      </c>
      <c r="G14" s="42" t="n">
        <f aca="false">IF(A14&lt;Inputs!$B$24,Inputs!$B$23,0)</f>
        <v>0</v>
      </c>
      <c r="H14" s="42" t="n">
        <f aca="false">G14*(1-Inputs!$B$29)</f>
        <v>0</v>
      </c>
      <c r="I14" s="42" t="n">
        <f aca="false">IF(A14&gt;=Inputs!$B$24,-Inputs!$B$26,0)</f>
        <v>-800</v>
      </c>
      <c r="J14" s="42" t="n">
        <f aca="false">-Inputs!$B$25</f>
        <v>-6000</v>
      </c>
      <c r="K14" s="55" t="n">
        <f aca="false">F14+H14+I14+J14</f>
        <v>1645.84</v>
      </c>
      <c r="L14" s="55" t="n">
        <f aca="false">L13+K14</f>
        <v>10686.72</v>
      </c>
      <c r="M14" s="61" t="str">
        <f aca="false">IF(A14=Inputs!$B$24,IF('MRR Ramp'!G14&gt;=Inputs!$B$40,"YES","NO"),"")</f>
        <v/>
      </c>
      <c r="N14" s="61" t="str">
        <f aca="false">IF(A14=Inputs!$B$24,IF(L14&gt;=Inputs!$B$25*Inputs!$B$41,"YES","NO"),"")</f>
        <v/>
      </c>
    </row>
    <row r="15" customFormat="false" ht="15" hidden="false" customHeight="false" outlineLevel="0" collapsed="false">
      <c r="A15" s="53" t="n">
        <v>11</v>
      </c>
      <c r="B15" s="26" t="s">
        <v>188</v>
      </c>
      <c r="C15" s="42" t="n">
        <f aca="false">'MRR Ramp'!I15</f>
        <v>12330.3333333333</v>
      </c>
      <c r="D15" s="42" t="n">
        <f aca="false">-Inputs!$B$27</f>
        <v>-600</v>
      </c>
      <c r="E15" s="42" t="n">
        <f aca="false">-MAX(0,(C15+D15))*Inputs!$B$28</f>
        <v>-3284.49333333333</v>
      </c>
      <c r="F15" s="55" t="n">
        <f aca="false">C15+D15+E15</f>
        <v>8445.84</v>
      </c>
      <c r="G15" s="42" t="n">
        <f aca="false">IF(A15&lt;Inputs!$B$24,Inputs!$B$23,0)</f>
        <v>0</v>
      </c>
      <c r="H15" s="42" t="n">
        <f aca="false">G15*(1-Inputs!$B$29)</f>
        <v>0</v>
      </c>
      <c r="I15" s="42" t="n">
        <f aca="false">IF(A15&gt;=Inputs!$B$24,-Inputs!$B$26,0)</f>
        <v>-800</v>
      </c>
      <c r="J15" s="42" t="n">
        <f aca="false">-Inputs!$B$25</f>
        <v>-6000</v>
      </c>
      <c r="K15" s="55" t="n">
        <f aca="false">F15+H15+I15+J15</f>
        <v>1645.84</v>
      </c>
      <c r="L15" s="55" t="n">
        <f aca="false">L14+K15</f>
        <v>12332.56</v>
      </c>
      <c r="M15" s="61" t="str">
        <f aca="false">IF(A15=Inputs!$B$24,IF('MRR Ramp'!G15&gt;=Inputs!$B$40,"YES","NO"),"")</f>
        <v/>
      </c>
      <c r="N15" s="61" t="str">
        <f aca="false">IF(A15=Inputs!$B$24,IF(L15&gt;=Inputs!$B$25*Inputs!$B$41,"YES","NO"),"")</f>
        <v/>
      </c>
    </row>
    <row r="16" customFormat="false" ht="15" hidden="false" customHeight="false" outlineLevel="0" collapsed="false">
      <c r="A16" s="53" t="n">
        <v>12</v>
      </c>
      <c r="B16" s="26" t="s">
        <v>189</v>
      </c>
      <c r="C16" s="42" t="n">
        <f aca="false">'MRR Ramp'!I16</f>
        <v>12330.3333333333</v>
      </c>
      <c r="D16" s="42" t="n">
        <f aca="false">-Inputs!$B$27</f>
        <v>-600</v>
      </c>
      <c r="E16" s="42" t="n">
        <f aca="false">-MAX(0,(C16+D16))*Inputs!$B$28</f>
        <v>-3284.49333333333</v>
      </c>
      <c r="F16" s="55" t="n">
        <f aca="false">C16+D16+E16</f>
        <v>8445.84</v>
      </c>
      <c r="G16" s="42" t="n">
        <f aca="false">IF(A16&lt;Inputs!$B$24,Inputs!$B$23,0)</f>
        <v>0</v>
      </c>
      <c r="H16" s="42" t="n">
        <f aca="false">G16*(1-Inputs!$B$29)</f>
        <v>0</v>
      </c>
      <c r="I16" s="42" t="n">
        <f aca="false">IF(A16&gt;=Inputs!$B$24,-Inputs!$B$26,0)</f>
        <v>-800</v>
      </c>
      <c r="J16" s="42" t="n">
        <f aca="false">-Inputs!$B$25</f>
        <v>-6000</v>
      </c>
      <c r="K16" s="55" t="n">
        <f aca="false">F16+H16+I16+J16</f>
        <v>1645.84</v>
      </c>
      <c r="L16" s="55" t="n">
        <f aca="false">L15+K16</f>
        <v>13978.4</v>
      </c>
      <c r="M16" s="61" t="str">
        <f aca="false">IF(A16=Inputs!$B$24,IF('MRR Ramp'!G16&gt;=Inputs!$B$40,"YES","NO"),"")</f>
        <v/>
      </c>
      <c r="N16" s="61" t="str">
        <f aca="false">IF(A16=Inputs!$B$24,IF(L16&gt;=Inputs!$B$25*Inputs!$B$41,"YES","NO"),"")</f>
        <v/>
      </c>
    </row>
    <row r="17" customFormat="false" ht="15" hidden="false" customHeight="false" outlineLevel="0" collapsed="false">
      <c r="A17" s="53" t="n">
        <v>13</v>
      </c>
      <c r="B17" s="26" t="s">
        <v>190</v>
      </c>
      <c r="C17" s="42" t="n">
        <f aca="false">'MRR Ramp'!I17</f>
        <v>12330.3333333333</v>
      </c>
      <c r="D17" s="42" t="n">
        <f aca="false">-Inputs!$B$27</f>
        <v>-600</v>
      </c>
      <c r="E17" s="42" t="n">
        <f aca="false">-MAX(0,(C17+D17))*Inputs!$B$28</f>
        <v>-3284.49333333333</v>
      </c>
      <c r="F17" s="55" t="n">
        <f aca="false">C17+D17+E17</f>
        <v>8445.84</v>
      </c>
      <c r="G17" s="42" t="n">
        <f aca="false">IF(A17&lt;Inputs!$B$24,Inputs!$B$23,0)</f>
        <v>0</v>
      </c>
      <c r="H17" s="42" t="n">
        <f aca="false">G17*(1-Inputs!$B$29)</f>
        <v>0</v>
      </c>
      <c r="I17" s="42" t="n">
        <f aca="false">IF(A17&gt;=Inputs!$B$24,-Inputs!$B$26,0)</f>
        <v>-800</v>
      </c>
      <c r="J17" s="42" t="n">
        <f aca="false">-Inputs!$B$25</f>
        <v>-6000</v>
      </c>
      <c r="K17" s="55" t="n">
        <f aca="false">F17+H17+I17+J17</f>
        <v>1645.84</v>
      </c>
      <c r="L17" s="55" t="n">
        <f aca="false">L16+K17</f>
        <v>15624.24</v>
      </c>
      <c r="M17" s="61" t="str">
        <f aca="false">IF(A17=Inputs!$B$24,IF('MRR Ramp'!G17&gt;=Inputs!$B$40,"YES","NO"),"")</f>
        <v/>
      </c>
      <c r="N17" s="61" t="str">
        <f aca="false">IF(A17=Inputs!$B$24,IF(L17&gt;=Inputs!$B$25*Inputs!$B$41,"YES","NO"),"")</f>
        <v/>
      </c>
    </row>
    <row r="18" customFormat="false" ht="15" hidden="false" customHeight="false" outlineLevel="0" collapsed="false">
      <c r="A18" s="53" t="n">
        <v>14</v>
      </c>
      <c r="B18" s="26" t="s">
        <v>191</v>
      </c>
      <c r="C18" s="42" t="n">
        <f aca="false">'MRR Ramp'!I18</f>
        <v>12330.3333333333</v>
      </c>
      <c r="D18" s="42" t="n">
        <f aca="false">-Inputs!$B$27</f>
        <v>-600</v>
      </c>
      <c r="E18" s="42" t="n">
        <f aca="false">-MAX(0,(C18+D18))*Inputs!$B$28</f>
        <v>-3284.49333333333</v>
      </c>
      <c r="F18" s="55" t="n">
        <f aca="false">C18+D18+E18</f>
        <v>8445.84</v>
      </c>
      <c r="G18" s="42" t="n">
        <f aca="false">IF(A18&lt;Inputs!$B$24,Inputs!$B$23,0)</f>
        <v>0</v>
      </c>
      <c r="H18" s="42" t="n">
        <f aca="false">G18*(1-Inputs!$B$29)</f>
        <v>0</v>
      </c>
      <c r="I18" s="42" t="n">
        <f aca="false">IF(A18&gt;=Inputs!$B$24,-Inputs!$B$26,0)</f>
        <v>-800</v>
      </c>
      <c r="J18" s="42" t="n">
        <f aca="false">-Inputs!$B$25</f>
        <v>-6000</v>
      </c>
      <c r="K18" s="55" t="n">
        <f aca="false">F18+H18+I18+J18</f>
        <v>1645.84</v>
      </c>
      <c r="L18" s="55" t="n">
        <f aca="false">L17+K18</f>
        <v>17270.08</v>
      </c>
      <c r="M18" s="61" t="str">
        <f aca="false">IF(A18=Inputs!$B$24,IF('MRR Ramp'!G18&gt;=Inputs!$B$40,"YES","NO"),"")</f>
        <v/>
      </c>
      <c r="N18" s="61" t="str">
        <f aca="false">IF(A18=Inputs!$B$24,IF(L18&gt;=Inputs!$B$25*Inputs!$B$41,"YES","NO"),"")</f>
        <v/>
      </c>
    </row>
    <row r="19" customFormat="false" ht="15" hidden="false" customHeight="false" outlineLevel="0" collapsed="false">
      <c r="A19" s="53" t="n">
        <v>15</v>
      </c>
      <c r="B19" s="26" t="s">
        <v>192</v>
      </c>
      <c r="C19" s="42" t="n">
        <f aca="false">'MRR Ramp'!I19</f>
        <v>12330.3333333333</v>
      </c>
      <c r="D19" s="42" t="n">
        <f aca="false">-Inputs!$B$27</f>
        <v>-600</v>
      </c>
      <c r="E19" s="42" t="n">
        <f aca="false">-MAX(0,(C19+D19))*Inputs!$B$28</f>
        <v>-3284.49333333333</v>
      </c>
      <c r="F19" s="55" t="n">
        <f aca="false">C19+D19+E19</f>
        <v>8445.84</v>
      </c>
      <c r="G19" s="42" t="n">
        <f aca="false">IF(A19&lt;Inputs!$B$24,Inputs!$B$23,0)</f>
        <v>0</v>
      </c>
      <c r="H19" s="42" t="n">
        <f aca="false">G19*(1-Inputs!$B$29)</f>
        <v>0</v>
      </c>
      <c r="I19" s="42" t="n">
        <f aca="false">IF(A19&gt;=Inputs!$B$24,-Inputs!$B$26,0)</f>
        <v>-800</v>
      </c>
      <c r="J19" s="42" t="n">
        <f aca="false">-Inputs!$B$25</f>
        <v>-6000</v>
      </c>
      <c r="K19" s="55" t="n">
        <f aca="false">F19+H19+I19+J19</f>
        <v>1645.84</v>
      </c>
      <c r="L19" s="55" t="n">
        <f aca="false">L18+K19</f>
        <v>18915.92</v>
      </c>
      <c r="M19" s="61" t="str">
        <f aca="false">IF(A19=Inputs!$B$24,IF('MRR Ramp'!G19&gt;=Inputs!$B$40,"YES","NO"),"")</f>
        <v/>
      </c>
      <c r="N19" s="61" t="str">
        <f aca="false">IF(A19=Inputs!$B$24,IF(L19&gt;=Inputs!$B$25*Inputs!$B$41,"YES","NO"),"")</f>
        <v/>
      </c>
    </row>
    <row r="20" customFormat="false" ht="15" hidden="false" customHeight="false" outlineLevel="0" collapsed="false">
      <c r="A20" s="53" t="n">
        <v>16</v>
      </c>
      <c r="B20" s="26" t="s">
        <v>193</v>
      </c>
      <c r="C20" s="42" t="n">
        <f aca="false">'MRR Ramp'!I20</f>
        <v>14330.3333333333</v>
      </c>
      <c r="D20" s="42" t="n">
        <f aca="false">-Inputs!$B$27</f>
        <v>-600</v>
      </c>
      <c r="E20" s="42" t="n">
        <f aca="false">-MAX(0,(C20+D20))*Inputs!$B$28</f>
        <v>-3844.49333333333</v>
      </c>
      <c r="F20" s="55" t="n">
        <f aca="false">C20+D20+E20</f>
        <v>9885.84</v>
      </c>
      <c r="G20" s="42" t="n">
        <f aca="false">IF(A20&lt;Inputs!$B$24,Inputs!$B$23,0)</f>
        <v>0</v>
      </c>
      <c r="H20" s="42" t="n">
        <f aca="false">G20*(1-Inputs!$B$29)</f>
        <v>0</v>
      </c>
      <c r="I20" s="42" t="n">
        <f aca="false">IF(A20&gt;=Inputs!$B$24,-Inputs!$B$26,0)</f>
        <v>-800</v>
      </c>
      <c r="J20" s="42" t="n">
        <f aca="false">-Inputs!$B$25</f>
        <v>-6000</v>
      </c>
      <c r="K20" s="55" t="n">
        <f aca="false">F20+H20+I20+J20</f>
        <v>3085.84</v>
      </c>
      <c r="L20" s="55" t="n">
        <f aca="false">L19+K20</f>
        <v>22001.76</v>
      </c>
      <c r="M20" s="61" t="str">
        <f aca="false">IF(A20=Inputs!$B$24,IF('MRR Ramp'!G20&gt;=Inputs!$B$40,"YES","NO"),"")</f>
        <v/>
      </c>
      <c r="N20" s="61" t="str">
        <f aca="false">IF(A20=Inputs!$B$24,IF(L20&gt;=Inputs!$B$25*Inputs!$B$41,"YES","NO"),"")</f>
        <v/>
      </c>
    </row>
    <row r="21" customFormat="false" ht="15" hidden="false" customHeight="false" outlineLevel="0" collapsed="false">
      <c r="A21" s="53" t="n">
        <v>17</v>
      </c>
      <c r="B21" s="26" t="s">
        <v>194</v>
      </c>
      <c r="C21" s="42" t="n">
        <f aca="false">'MRR Ramp'!I21</f>
        <v>14330.3333333333</v>
      </c>
      <c r="D21" s="42" t="n">
        <f aca="false">-Inputs!$B$27</f>
        <v>-600</v>
      </c>
      <c r="E21" s="42" t="n">
        <f aca="false">-MAX(0,(C21+D21))*Inputs!$B$28</f>
        <v>-3844.49333333333</v>
      </c>
      <c r="F21" s="55" t="n">
        <f aca="false">C21+D21+E21</f>
        <v>9885.84</v>
      </c>
      <c r="G21" s="42" t="n">
        <f aca="false">IF(A21&lt;Inputs!$B$24,Inputs!$B$23,0)</f>
        <v>0</v>
      </c>
      <c r="H21" s="42" t="n">
        <f aca="false">G21*(1-Inputs!$B$29)</f>
        <v>0</v>
      </c>
      <c r="I21" s="42" t="n">
        <f aca="false">IF(A21&gt;=Inputs!$B$24,-Inputs!$B$26,0)</f>
        <v>-800</v>
      </c>
      <c r="J21" s="42" t="n">
        <f aca="false">-Inputs!$B$25</f>
        <v>-6000</v>
      </c>
      <c r="K21" s="55" t="n">
        <f aca="false">F21+H21+I21+J21</f>
        <v>3085.84</v>
      </c>
      <c r="L21" s="55" t="n">
        <f aca="false">L20+K21</f>
        <v>25087.6</v>
      </c>
      <c r="M21" s="61" t="str">
        <f aca="false">IF(A21=Inputs!$B$24,IF('MRR Ramp'!G21&gt;=Inputs!$B$40,"YES","NO"),"")</f>
        <v/>
      </c>
      <c r="N21" s="61" t="str">
        <f aca="false">IF(A21=Inputs!$B$24,IF(L21&gt;=Inputs!$B$25*Inputs!$B$41,"YES","NO"),"")</f>
        <v/>
      </c>
    </row>
    <row r="22" customFormat="false" ht="15" hidden="false" customHeight="false" outlineLevel="0" collapsed="false">
      <c r="A22" s="53" t="n">
        <v>18</v>
      </c>
      <c r="B22" s="26" t="s">
        <v>195</v>
      </c>
      <c r="C22" s="42" t="n">
        <f aca="false">'MRR Ramp'!I22</f>
        <v>14330.3333333333</v>
      </c>
      <c r="D22" s="42" t="n">
        <f aca="false">-Inputs!$B$27</f>
        <v>-600</v>
      </c>
      <c r="E22" s="42" t="n">
        <f aca="false">-MAX(0,(C22+D22))*Inputs!$B$28</f>
        <v>-3844.49333333333</v>
      </c>
      <c r="F22" s="55" t="n">
        <f aca="false">C22+D22+E22</f>
        <v>9885.84</v>
      </c>
      <c r="G22" s="42" t="n">
        <f aca="false">IF(A22&lt;Inputs!$B$24,Inputs!$B$23,0)</f>
        <v>0</v>
      </c>
      <c r="H22" s="42" t="n">
        <f aca="false">G22*(1-Inputs!$B$29)</f>
        <v>0</v>
      </c>
      <c r="I22" s="42" t="n">
        <f aca="false">IF(A22&gt;=Inputs!$B$24,-Inputs!$B$26,0)</f>
        <v>-800</v>
      </c>
      <c r="J22" s="42" t="n">
        <f aca="false">-Inputs!$B$25</f>
        <v>-6000</v>
      </c>
      <c r="K22" s="55" t="n">
        <f aca="false">F22+H22+I22+J22</f>
        <v>3085.84</v>
      </c>
      <c r="L22" s="55" t="n">
        <f aca="false">L21+K22</f>
        <v>28173.44</v>
      </c>
      <c r="M22" s="61" t="str">
        <f aca="false">IF(A22=Inputs!$B$24,IF('MRR Ramp'!G22&gt;=Inputs!$B$40,"YES","NO"),"")</f>
        <v/>
      </c>
      <c r="N22" s="61" t="str">
        <f aca="false">IF(A22=Inputs!$B$24,IF(L22&gt;=Inputs!$B$25*Inputs!$B$41,"YES","NO"),"")</f>
        <v/>
      </c>
    </row>
    <row r="23" customFormat="false" ht="15" hidden="false" customHeight="false" outlineLevel="0" collapsed="false">
      <c r="A23" s="53" t="n">
        <v>19</v>
      </c>
      <c r="B23" s="26" t="s">
        <v>196</v>
      </c>
      <c r="C23" s="42" t="n">
        <f aca="false">'MRR Ramp'!I23</f>
        <v>14330.3333333333</v>
      </c>
      <c r="D23" s="42" t="n">
        <f aca="false">-Inputs!$B$27</f>
        <v>-600</v>
      </c>
      <c r="E23" s="42" t="n">
        <f aca="false">-MAX(0,(C23+D23))*Inputs!$B$28</f>
        <v>-3844.49333333333</v>
      </c>
      <c r="F23" s="55" t="n">
        <f aca="false">C23+D23+E23</f>
        <v>9885.84</v>
      </c>
      <c r="G23" s="42" t="n">
        <f aca="false">IF(A23&lt;Inputs!$B$24,Inputs!$B$23,0)</f>
        <v>0</v>
      </c>
      <c r="H23" s="42" t="n">
        <f aca="false">G23*(1-Inputs!$B$29)</f>
        <v>0</v>
      </c>
      <c r="I23" s="42" t="n">
        <f aca="false">IF(A23&gt;=Inputs!$B$24,-Inputs!$B$26,0)</f>
        <v>-800</v>
      </c>
      <c r="J23" s="42" t="n">
        <f aca="false">-Inputs!$B$25</f>
        <v>-6000</v>
      </c>
      <c r="K23" s="55" t="n">
        <f aca="false">F23+H23+I23+J23</f>
        <v>3085.84</v>
      </c>
      <c r="L23" s="55" t="n">
        <f aca="false">L22+K23</f>
        <v>31259.28</v>
      </c>
      <c r="M23" s="61" t="str">
        <f aca="false">IF(A23=Inputs!$B$24,IF('MRR Ramp'!G23&gt;=Inputs!$B$40,"YES","NO"),"")</f>
        <v/>
      </c>
      <c r="N23" s="61" t="str">
        <f aca="false">IF(A23=Inputs!$B$24,IF(L23&gt;=Inputs!$B$25*Inputs!$B$41,"YES","NO"),"")</f>
        <v/>
      </c>
    </row>
    <row r="24" customFormat="false" ht="15" hidden="false" customHeight="false" outlineLevel="0" collapsed="false">
      <c r="A24" s="53" t="n">
        <v>20</v>
      </c>
      <c r="B24" s="26" t="s">
        <v>197</v>
      </c>
      <c r="C24" s="42" t="n">
        <f aca="false">'MRR Ramp'!I24</f>
        <v>14330.3333333333</v>
      </c>
      <c r="D24" s="42" t="n">
        <f aca="false">-Inputs!$B$27</f>
        <v>-600</v>
      </c>
      <c r="E24" s="42" t="n">
        <f aca="false">-MAX(0,(C24+D24))*Inputs!$B$28</f>
        <v>-3844.49333333333</v>
      </c>
      <c r="F24" s="55" t="n">
        <f aca="false">C24+D24+E24</f>
        <v>9885.84</v>
      </c>
      <c r="G24" s="42" t="n">
        <f aca="false">IF(A24&lt;Inputs!$B$24,Inputs!$B$23,0)</f>
        <v>0</v>
      </c>
      <c r="H24" s="42" t="n">
        <f aca="false">G24*(1-Inputs!$B$29)</f>
        <v>0</v>
      </c>
      <c r="I24" s="42" t="n">
        <f aca="false">IF(A24&gt;=Inputs!$B$24,-Inputs!$B$26,0)</f>
        <v>-800</v>
      </c>
      <c r="J24" s="42" t="n">
        <f aca="false">-Inputs!$B$25</f>
        <v>-6000</v>
      </c>
      <c r="K24" s="55" t="n">
        <f aca="false">F24+H24+I24+J24</f>
        <v>3085.84</v>
      </c>
      <c r="L24" s="55" t="n">
        <f aca="false">L23+K24</f>
        <v>34345.12</v>
      </c>
      <c r="M24" s="61" t="str">
        <f aca="false">IF(A24=Inputs!$B$24,IF('MRR Ramp'!G24&gt;=Inputs!$B$40,"YES","NO"),"")</f>
        <v/>
      </c>
      <c r="N24" s="61" t="str">
        <f aca="false">IF(A24=Inputs!$B$24,IF(L24&gt;=Inputs!$B$25*Inputs!$B$41,"YES","NO"),"")</f>
        <v/>
      </c>
    </row>
  </sheetData>
  <mergeCells count="2">
    <mergeCell ref="A1:N1"/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2026-05-14T06:52:01Z</dcterms:created>
  <dc:creator>openpyxl</dc:creator>
  <dc:description/>
  <dc:language>en-US</dc:language>
  <cp:lastModifiedBy/>
  <dcterms:modified xsi:type="dcterms:W3CDTF">2026-05-14T06:52:01Z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