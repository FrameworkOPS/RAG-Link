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uplicates" sheetId="2" state="visible" r:id="rId4"/>
    <sheet name="No Customer" sheetId="3" state="visible" r:id="rId5"/>
    <sheet name="Missing CRM Lin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<sst xmlns="http://schemas.openxmlformats.org/spreadsheetml/2006/main" count="767" uniqueCount="210">
  <si>
    <t xml:space="preserve">Hummer Production Push – Phase 1 Ticket Analysis</t>
  </si>
  <si>
    <t xml:space="preserve">Source: HubSpot CRM Export  |  Date: 2026-06-06  |  Total Tickets: 76</t>
  </si>
  <si>
    <t xml:space="preserve">KEY METRICS</t>
  </si>
  <si>
    <t xml:space="preserve">Total Tickets</t>
  </si>
  <si>
    <t xml:space="preserve">Unique Jobs</t>
  </si>
  <si>
    <t xml:space="preserve">Duplicate Tickets</t>
  </si>
  <si>
    <t xml:space="preserve">Marked No Customer</t>
  </si>
  <si>
    <t xml:space="preserve">Has Customer, Missing CRM</t>
  </si>
  <si>
    <t xml:space="preserve">Jobs w/ Duplicates</t>
  </si>
  <si>
    <t xml:space="preserve">TICKETS BY OWNER</t>
  </si>
  <si>
    <t xml:space="preserve">TICKETS BY STAGE</t>
  </si>
  <si>
    <t xml:space="preserve">Owner</t>
  </si>
  <si>
    <t xml:space="preserve">Ticket Count</t>
  </si>
  <si>
    <t xml:space="preserve">% of Total</t>
  </si>
  <si>
    <t xml:space="preserve">Stage</t>
  </si>
  <si>
    <t xml:space="preserve">Count</t>
  </si>
  <si>
    <t xml:space="preserve">Fraser Finlayson</t>
  </si>
  <si>
    <t xml:space="preserve">Interior Linings</t>
  </si>
  <si>
    <t xml:space="preserve">Andrew Scott</t>
  </si>
  <si>
    <t xml:space="preserve">Painting &amp; Finishing</t>
  </si>
  <si>
    <t xml:space="preserve">Killian O'Neill</t>
  </si>
  <si>
    <t xml:space="preserve">Schedule Pre Construction Meeting</t>
  </si>
  <si>
    <t xml:space="preserve">Corey Flynn</t>
  </si>
  <si>
    <t xml:space="preserve">Fixtures/Internal Fit Out</t>
  </si>
  <si>
    <t xml:space="preserve">Total</t>
  </si>
  <si>
    <t xml:space="preserve">Cladding On</t>
  </si>
  <si>
    <t xml:space="preserve">Roof On</t>
  </si>
  <si>
    <t xml:space="preserve">Contract Confirmed Signed</t>
  </si>
  <si>
    <t xml:space="preserve">Customer Walkthrough &amp; Final Inspection</t>
  </si>
  <si>
    <t xml:space="preserve">Foundations / Slab Poured</t>
  </si>
  <si>
    <t xml:space="preserve">Schedule Handover</t>
  </si>
  <si>
    <t xml:space="preserve">WD Submitted to Council</t>
  </si>
  <si>
    <t xml:space="preserve">Groundwork Commenced</t>
  </si>
  <si>
    <t xml:space="preserve">Frames Up</t>
  </si>
  <si>
    <t xml:space="preserve">Windows In</t>
  </si>
  <si>
    <t xml:space="preserve">Duplicate Tickets — Hummer Phase 1</t>
  </si>
  <si>
    <t xml:space="preserve">13 job numbers have duplicate tickets. 40 tickets total → 27 extras to delete. All duplicates owned by Fraser Finlayson.</t>
  </si>
  <si>
    <t xml:space="preserve">Job Number</t>
  </si>
  <si>
    <t xml:space="preserve">Ticket ID</t>
  </si>
  <si>
    <t xml:space="preserve">Ticket Name</t>
  </si>
  <si>
    <t xml:space="preserve">Action</t>
  </si>
  <si>
    <t xml:space="preserve">CT7509a</t>
  </si>
  <si>
    <t xml:space="preserve">258562793931</t>
  </si>
  <si>
    <t xml:space="preserve">CT7509a (Townhouse 4, 51 Monsaraz Boulevard, Halswell Commons)</t>
  </si>
  <si>
    <t xml:space="preserve">KEEP (oldest)</t>
  </si>
  <si>
    <t xml:space="preserve">258635160040</t>
  </si>
  <si>
    <t xml:space="preserve">DELETE</t>
  </si>
  <si>
    <t xml:space="preserve">258642362831</t>
  </si>
  <si>
    <t xml:space="preserve">258575416814</t>
  </si>
  <si>
    <t xml:space="preserve">CT8196</t>
  </si>
  <si>
    <t xml:space="preserve">258642367949</t>
  </si>
  <si>
    <t xml:space="preserve">CT8196 (Lot 8 Te Whaiawa - 76 Te Whaiawa Crescent, West Melton)</t>
  </si>
  <si>
    <t xml:space="preserve">258516061676</t>
  </si>
  <si>
    <t xml:space="preserve">258642361821</t>
  </si>
  <si>
    <t xml:space="preserve">CT8197</t>
  </si>
  <si>
    <t xml:space="preserve">258553799140</t>
  </si>
  <si>
    <t xml:space="preserve">CT8197 (Lot 9 Te Whaiawa - 74 Te Whaiawa Crescent, West Melton)</t>
  </si>
  <si>
    <t xml:space="preserve">258644182479</t>
  </si>
  <si>
    <t xml:space="preserve">258645983696</t>
  </si>
  <si>
    <t xml:space="preserve">CT8200</t>
  </si>
  <si>
    <t xml:space="preserve">258544874995</t>
  </si>
  <si>
    <t xml:space="preserve">CT8200 (Lot 14 Te Whaiawa - 64 Te Whaiawa Crescent, West Melton)</t>
  </si>
  <si>
    <t xml:space="preserve">258642366950</t>
  </si>
  <si>
    <t xml:space="preserve">258644177345</t>
  </si>
  <si>
    <t xml:space="preserve">CT8203</t>
  </si>
  <si>
    <t xml:space="preserve">258580864502</t>
  </si>
  <si>
    <t xml:space="preserve">CT8203 (Lot 17 Te Whaiawa - 58 Te Whaiawa Crescent, West Melton, Selwyn)</t>
  </si>
  <si>
    <t xml:space="preserve">258645991877</t>
  </si>
  <si>
    <t xml:space="preserve">258635154881</t>
  </si>
  <si>
    <t xml:space="preserve">CT8204</t>
  </si>
  <si>
    <t xml:space="preserve">258566393307</t>
  </si>
  <si>
    <t xml:space="preserve">CT8204 (Lot 18 Te Whaiawa - 56 Te Whaiawa Crescent, West Melton)</t>
  </si>
  <si>
    <t xml:space="preserve">258635160042</t>
  </si>
  <si>
    <t xml:space="preserve">258562787775</t>
  </si>
  <si>
    <t xml:space="preserve">CT8426</t>
  </si>
  <si>
    <t xml:space="preserve">258647787966</t>
  </si>
  <si>
    <t xml:space="preserve">CT8426 (Lot 11 Halswell Country Estates - 45 Podocarp Drive, Christchurch)</t>
  </si>
  <si>
    <t xml:space="preserve">258644182482</t>
  </si>
  <si>
    <t xml:space="preserve">258638765539</t>
  </si>
  <si>
    <t xml:space="preserve">CT8427</t>
  </si>
  <si>
    <t xml:space="preserve">258642367950</t>
  </si>
  <si>
    <t xml:space="preserve">CT8427 (Lot 12 Halswell Country Estates - 47 Podocarp Drive, Christchurch)</t>
  </si>
  <si>
    <t xml:space="preserve">258644182483</t>
  </si>
  <si>
    <t xml:space="preserve">258575416816</t>
  </si>
  <si>
    <t xml:space="preserve">CT8428</t>
  </si>
  <si>
    <t xml:space="preserve">258580864503</t>
  </si>
  <si>
    <t xml:space="preserve">CT8428 (Lot 13 Halswell Country Estates - 49 Podocarp Drive, Christchurch)</t>
  </si>
  <si>
    <t xml:space="preserve">258516061679</t>
  </si>
  <si>
    <t xml:space="preserve">258638765540</t>
  </si>
  <si>
    <t xml:space="preserve">CT8554</t>
  </si>
  <si>
    <t xml:space="preserve">258544874996</t>
  </si>
  <si>
    <t xml:space="preserve">CT8554 (Lot 30 Quaifes Park - 39 Cork Street, Halswell, Christchurch)</t>
  </si>
  <si>
    <t xml:space="preserve">258553798129</t>
  </si>
  <si>
    <t xml:space="preserve">258562787776</t>
  </si>
  <si>
    <t xml:space="preserve">CT8555</t>
  </si>
  <si>
    <t xml:space="preserve">258575424978</t>
  </si>
  <si>
    <t xml:space="preserve">CT8555 (Lot 31 Quaifes Park - 41 Cork Street, Halswell, Christchurch)</t>
  </si>
  <si>
    <t xml:space="preserve">258635160043</t>
  </si>
  <si>
    <t xml:space="preserve">258644177346</t>
  </si>
  <si>
    <t xml:space="preserve">CT8587</t>
  </si>
  <si>
    <t xml:space="preserve">258544874997</t>
  </si>
  <si>
    <t xml:space="preserve">CT8587 (Lot 16 Sabys Estate - 36 Matamoe Drive, Halswell)</t>
  </si>
  <si>
    <t xml:space="preserve">258645991883</t>
  </si>
  <si>
    <t xml:space="preserve">258644177347</t>
  </si>
  <si>
    <t xml:space="preserve">CT8617</t>
  </si>
  <si>
    <t xml:space="preserve">258541256156</t>
  </si>
  <si>
    <t xml:space="preserve">CT8617 (Lot 17 Halswell Country Estates - 20 Podocarp Drive, Halswell)</t>
  </si>
  <si>
    <t xml:space="preserve">258705226199</t>
  </si>
  <si>
    <t xml:space="preserve">258638765542</t>
  </si>
  <si>
    <t xml:space="preserve">Tickets Marked 'No Customer' (55 of 76)</t>
  </si>
  <si>
    <t xml:space="preserve">Hummer Job #</t>
  </si>
  <si>
    <t xml:space="preserve">Has Contact</t>
  </si>
  <si>
    <t xml:space="preserve">Has Deal</t>
  </si>
  <si>
    <t xml:space="preserve">258635161035</t>
  </si>
  <si>
    <t xml:space="preserve">CT8669 (Lot 36 Grayshott Glade - 10 Tulett Park Drive, Casebrook, Christchurch)</t>
  </si>
  <si>
    <t xml:space="preserve">CT8669</t>
  </si>
  <si>
    <t xml:space="preserve">Yes</t>
  </si>
  <si>
    <t xml:space="preserve">No</t>
  </si>
  <si>
    <t xml:space="preserve">258638773735</t>
  </si>
  <si>
    <t xml:space="preserve">CT8668 (Lot 35 Grayshott Glade - 8 Tulett Park Drive, Casebrook, Christchurch)</t>
  </si>
  <si>
    <t xml:space="preserve">CT8668</t>
  </si>
  <si>
    <t xml:space="preserve">258516062697</t>
  </si>
  <si>
    <t xml:space="preserve">CT8667 (Lot 32 Grayshott Glade - 6 Komanawa Place, Casebrook, Christchurch)</t>
  </si>
  <si>
    <t xml:space="preserve">CT8667</t>
  </si>
  <si>
    <t xml:space="preserve">258580865469</t>
  </si>
  <si>
    <t xml:space="preserve">CT8666 (Lot 31 Grayshott Glade - 8 Komanawa Place, Casebrook, Christchurch)</t>
  </si>
  <si>
    <t xml:space="preserve">CT8666</t>
  </si>
  <si>
    <t xml:space="preserve">258645992904</t>
  </si>
  <si>
    <t xml:space="preserve">CT8410 (Lot 6 Highsted - 64 Flaxmill Road, Casebrook)</t>
  </si>
  <si>
    <t xml:space="preserve">CT8410</t>
  </si>
  <si>
    <t xml:space="preserve">258516062696</t>
  </si>
  <si>
    <t xml:space="preserve">CT8374 (Lot 245 Silverstream - 35 Bastings Street, Kaiapoi)</t>
  </si>
  <si>
    <t xml:space="preserve">CT8374</t>
  </si>
  <si>
    <t xml:space="preserve">258516062695</t>
  </si>
  <si>
    <t xml:space="preserve">CT8373 (Lot 244 Silverstream - 37 Bastings Street, Kaiapoi)</t>
  </si>
  <si>
    <t xml:space="preserve">CT8373</t>
  </si>
  <si>
    <t xml:space="preserve">258564590019</t>
  </si>
  <si>
    <t xml:space="preserve">CT8372 (Lot 24 Silverstream - 57 Adderley Terrace, Kaiapoi)</t>
  </si>
  <si>
    <t xml:space="preserve">CT8372</t>
  </si>
  <si>
    <t xml:space="preserve">258647787970</t>
  </si>
  <si>
    <t xml:space="preserve">CT8371 (Lot 23 Silverstream - 35 Joslen Way, Kaiapoi)</t>
  </si>
  <si>
    <t xml:space="preserve">CT8371</t>
  </si>
  <si>
    <t xml:space="preserve">258541256161</t>
  </si>
  <si>
    <t xml:space="preserve">CT8370 (Lot 22 Silverstream - 61 Adderley Terrace, Kaiapoi)</t>
  </si>
  <si>
    <t xml:space="preserve">CT8370</t>
  </si>
  <si>
    <t xml:space="preserve">258642367952</t>
  </si>
  <si>
    <t xml:space="preserve">CT8369 (Lot 139 Silverstream - 48 Adderley Terrace, Kaiapoi)</t>
  </si>
  <si>
    <t xml:space="preserve">CT8369</t>
  </si>
  <si>
    <t xml:space="preserve">258638773734</t>
  </si>
  <si>
    <t xml:space="preserve">CT8405 (Lot 140 Prestons Grove - 25 Padstow Loop, Marshland, Christchurch)</t>
  </si>
  <si>
    <t xml:space="preserve">CT8405</t>
  </si>
  <si>
    <t xml:space="preserve">258575424980</t>
  </si>
  <si>
    <t xml:space="preserve">CT8391 (Lot 19 Prestons Grove - 11 Padstow Loop, Marshland, Christchurch)</t>
  </si>
  <si>
    <t xml:space="preserve">CT8391</t>
  </si>
  <si>
    <t xml:space="preserve">258642367951</t>
  </si>
  <si>
    <t xml:space="preserve">CT8208 (Lot 107 Te Whaiawa - 18 Kakaruai Crescent, West Melton)</t>
  </si>
  <si>
    <t xml:space="preserve">CT8208</t>
  </si>
  <si>
    <t xml:space="preserve">258566393311</t>
  </si>
  <si>
    <t xml:space="preserve">CT8207 (Lot 106 Te Whaiawa - 16 Kakaruai Crescent, West Melton)</t>
  </si>
  <si>
    <t xml:space="preserve">CT8207</t>
  </si>
  <si>
    <t xml:space="preserve">258635161033</t>
  </si>
  <si>
    <t xml:space="preserve">CT8206 (Lot 101 Te Whaiawa - 6 Kakaruai Crescent, West Melton)</t>
  </si>
  <si>
    <t xml:space="preserve">CT8206</t>
  </si>
  <si>
    <t xml:space="preserve">258644182518</t>
  </si>
  <si>
    <t xml:space="preserve">CT8172 (Lot 137 Prestons Grove - 26 Padstow Loop, Marshland, Christchurch)</t>
  </si>
  <si>
    <t xml:space="preserve">CT8172</t>
  </si>
  <si>
    <t xml:space="preserve">258577271281</t>
  </si>
  <si>
    <t xml:space="preserve">CT8167 (Lot 127 Prestons Grove - 46 Padstow Loop, Marshland, Christchurch)</t>
  </si>
  <si>
    <t xml:space="preserve">CT8167</t>
  </si>
  <si>
    <t xml:space="preserve">258580865466</t>
  </si>
  <si>
    <t xml:space="preserve">CT8127 (Lot 134 Prestons Grove - 32 Padstow Loop, Marshland, Christchurch)</t>
  </si>
  <si>
    <t xml:space="preserve">CT8127</t>
  </si>
  <si>
    <t xml:space="preserve">258562793932</t>
  </si>
  <si>
    <t xml:space="preserve">CT8007 (Lot 61 Hampton Grove - 11 Northampton Drive, Prebbleton)</t>
  </si>
  <si>
    <t xml:space="preserve">CT8007</t>
  </si>
  <si>
    <t xml:space="preserve">258705227246</t>
  </si>
  <si>
    <t xml:space="preserve">CT8006 (Lot 60 Hampton Grove - 13 Northampton Drive, Prebbleton)</t>
  </si>
  <si>
    <t xml:space="preserve">CT8006</t>
  </si>
  <si>
    <t xml:space="preserve">258541256158</t>
  </si>
  <si>
    <t xml:space="preserve">CT8447 (Lot 4 Berryfields - 147 Gardiners Road, Harewood)</t>
  </si>
  <si>
    <t xml:space="preserve">CT8447</t>
  </si>
  <si>
    <t xml:space="preserve">258644182517</t>
  </si>
  <si>
    <t xml:space="preserve">CT8446 (Lot 2 Berryfields - 151 Gardiners Road, Harewood)</t>
  </si>
  <si>
    <t xml:space="preserve">CT8446</t>
  </si>
  <si>
    <t xml:space="preserve">258580864505</t>
  </si>
  <si>
    <t xml:space="preserve">CT8166 (Lot 126 Prestons Grove - 48 Padstow Loop, Marshland, Christchurch)</t>
  </si>
  <si>
    <t xml:space="preserve">CT8166</t>
  </si>
  <si>
    <t xml:space="preserve">258644182516</t>
  </si>
  <si>
    <t xml:space="preserve">CT8124 (Lot 125 Prestons Grove - 50 Padstow Loop, Marshland, Christchurch)</t>
  </si>
  <si>
    <t xml:space="preserve">CT8124</t>
  </si>
  <si>
    <t xml:space="preserve">Has Customer — Missing Contact or Deal Association</t>
  </si>
  <si>
    <t xml:space="preserve">These tickets are flagged 'Yes' for customer but have no Contact ID and/or no Deal ID in HubSpot. High data integrity risk.</t>
  </si>
  <si>
    <t xml:space="preserve">Contact Present</t>
  </si>
  <si>
    <t xml:space="preserve">Deal Present</t>
  </si>
  <si>
    <t xml:space="preserve">Issue</t>
  </si>
  <si>
    <t xml:space="preserve">258566393312</t>
  </si>
  <si>
    <t xml:space="preserve">CT8409 (Lot 3 Highsted - 70 Flaxmill Road, Casebrook)</t>
  </si>
  <si>
    <t xml:space="preserve">CT8409</t>
  </si>
  <si>
    <t xml:space="preserve">NO</t>
  </si>
  <si>
    <t xml:space="preserve">Missing Contact + Deal</t>
  </si>
  <si>
    <t xml:space="preserve">258564590017</t>
  </si>
  <si>
    <t xml:space="preserve">CT8170 (Lot 130 Prestons Grove - 40 Padstow Loop, Marshland, Christchurch)</t>
  </si>
  <si>
    <t xml:space="preserve">CT8170</t>
  </si>
  <si>
    <t xml:space="preserve">258577271280</t>
  </si>
  <si>
    <t xml:space="preserve">CT8002 (Lot 51 Hampton Grove - 33 Northampton Drive, Prebbleton)</t>
  </si>
  <si>
    <t xml:space="preserve">CT8002</t>
  </si>
  <si>
    <t xml:space="preserve">258705227245</t>
  </si>
  <si>
    <t xml:space="preserve">CT8280 (Lot 91 Wilfield - 71 Ridgeland Way, West Melton)</t>
  </si>
  <si>
    <t xml:space="preserve">CT8280</t>
  </si>
  <si>
    <t xml:space="preserve">Missing Contact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</si>
</sst>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444444"/>
      <name val="Arial"/>
      <family val="0"/>
      <charset val="1"/>
    </font>
    <font>
      <b val="true"/>
      <sz val="1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CC000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FFE0E0"/>
        <bgColor rgb="FFFFF2CC"/>
      </patternFill>
    </fill>
    <fill>
      <patternFill patternType="solid">
        <fgColor rgb="FFFFF2CC"/>
        <bgColor rgb="FFF5F5F5"/>
      </patternFill>
    </fill>
    <fill>
      <patternFill patternType="solid">
        <fgColor rgb="FF1F3864"/>
        <bgColor rgb="FF333399"/>
      </patternFill>
    </fill>
    <fill>
      <patternFill patternType="solid">
        <fgColor rgb="FFF5F5F5"/>
        <bgColor rgb="FFFFFFFF"/>
      </patternFill>
    </fill>
    <fill>
      <patternFill patternType="solid">
        <fgColor rgb="FFD5E8F0"/>
        <bgColor rgb="FFE2EFDA"/>
      </patternFill>
    </fill>
    <fill>
      <patternFill patternType="solid">
        <fgColor rgb="FFE2EFDA"/>
        <bgColor rgb="FFD5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3"/>
    <col collapsed="false" customWidth="true" hidden="false" outlineLevel="0" max="5" min="5" style="0" width="36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 t="s">
        <v>0</v>
      </c>
    </row>
    <row r="2" customFormat="false" ht="15.75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95.5" hidden="false" customHeight="false" outlineLevel="0" collapsed="false">
      <c r="A5" s="4" t="s">
        <v>3</v>
      </c>
      <c r="B5" s="4" t="s">
        <v>4</v>
      </c>
      <c r="C5" s="5" t="s">
        <v>5</v>
      </c>
      <c r="D5" s="6" t="s">
        <v>6</v>
      </c>
      <c r="E5" s="6" t="s">
        <v>7</v>
      </c>
      <c r="F5" s="5" t="s">
        <v>8</v>
      </c>
    </row>
    <row r="6" customFormat="false" ht="22.05" hidden="false" customHeight="false" outlineLevel="0" collapsed="false">
      <c r="A6" s="7" t="n">
        <v>76</v>
      </c>
      <c r="B6" s="7" t="n">
        <v>49</v>
      </c>
      <c r="C6" s="8" t="n">
        <v>27</v>
      </c>
      <c r="D6" s="9" t="n">
        <v>55</v>
      </c>
      <c r="E6" s="9" t="n">
        <v>9</v>
      </c>
      <c r="F6" s="8" t="n">
        <v>13</v>
      </c>
    </row>
    <row r="8" customFormat="false" ht="15" hidden="false" customHeight="false" outlineLevel="0" collapsed="false">
      <c r="A8" s="3" t="s">
        <v>9</v>
      </c>
      <c r="E8" s="3" t="s">
        <v>10</v>
      </c>
    </row>
    <row r="9" customFormat="false" ht="26.85" hidden="false" customHeight="false" outlineLevel="0" collapsed="false">
      <c r="A9" s="10" t="s">
        <v>11</v>
      </c>
      <c r="B9" s="10" t="s">
        <v>12</v>
      </c>
      <c r="C9" s="10" t="s">
        <v>13</v>
      </c>
      <c r="E9" s="11" t="s">
        <v>14</v>
      </c>
      <c r="F9" s="11" t="s">
        <v>15</v>
      </c>
      <c r="G9" s="11" t="s">
        <v>13</v>
      </c>
    </row>
    <row r="10" customFormat="false" ht="15" hidden="false" customHeight="false" outlineLevel="0" collapsed="false">
      <c r="A10" s="12" t="s">
        <v>16</v>
      </c>
      <c r="B10" s="12" t="n">
        <v>40</v>
      </c>
      <c r="C10" s="13" t="n">
        <f aca="false">B10/76</f>
        <v>0.526315789473684</v>
      </c>
      <c r="E10" s="14" t="s">
        <v>17</v>
      </c>
      <c r="F10" s="14" t="n">
        <v>13</v>
      </c>
      <c r="G10" s="15" t="n">
        <f aca="false">F10/76</f>
        <v>0.171052631578947</v>
      </c>
    </row>
    <row r="11" customFormat="false" ht="15" hidden="false" customHeight="false" outlineLevel="0" collapsed="false">
      <c r="A11" s="16" t="s">
        <v>18</v>
      </c>
      <c r="B11" s="16" t="n">
        <v>16</v>
      </c>
      <c r="C11" s="17" t="n">
        <f aca="false">B11/76</f>
        <v>0.210526315789474</v>
      </c>
      <c r="E11" s="18" t="s">
        <v>19</v>
      </c>
      <c r="F11" s="18" t="n">
        <v>11</v>
      </c>
      <c r="G11" s="19" t="n">
        <f aca="false">F11/76</f>
        <v>0.144736842105263</v>
      </c>
    </row>
    <row r="12" customFormat="false" ht="15" hidden="false" customHeight="false" outlineLevel="0" collapsed="false">
      <c r="A12" s="12" t="s">
        <v>20</v>
      </c>
      <c r="B12" s="12" t="n">
        <v>13</v>
      </c>
      <c r="C12" s="13" t="n">
        <f aca="false">B12/76</f>
        <v>0.171052631578947</v>
      </c>
      <c r="E12" s="14" t="s">
        <v>21</v>
      </c>
      <c r="F12" s="14" t="n">
        <v>9</v>
      </c>
      <c r="G12" s="15" t="n">
        <f aca="false">F12/76</f>
        <v>0.118421052631579</v>
      </c>
    </row>
    <row r="13" customFormat="false" ht="15" hidden="false" customHeight="false" outlineLevel="0" collapsed="false">
      <c r="A13" s="16" t="s">
        <v>22</v>
      </c>
      <c r="B13" s="16" t="n">
        <v>7</v>
      </c>
      <c r="C13" s="17" t="n">
        <f aca="false">B13/76</f>
        <v>0.0921052631578947</v>
      </c>
      <c r="E13" s="18" t="s">
        <v>23</v>
      </c>
      <c r="F13" s="18" t="n">
        <v>8</v>
      </c>
      <c r="G13" s="19" t="n">
        <f aca="false">F13/76</f>
        <v>0.105263157894737</v>
      </c>
    </row>
    <row r="14" customFormat="false" ht="15" hidden="false" customHeight="false" outlineLevel="0" collapsed="false">
      <c r="A14" s="20" t="s">
        <v>24</v>
      </c>
      <c r="B14" s="20" t="n">
        <f aca="false">SUM(B10:B13)</f>
        <v>76</v>
      </c>
      <c r="C14" s="21" t="n">
        <f aca="false">SUM(C10:C13)</f>
        <v>1</v>
      </c>
      <c r="E14" s="14" t="s">
        <v>25</v>
      </c>
      <c r="F14" s="14" t="n">
        <v>6</v>
      </c>
      <c r="G14" s="15" t="n">
        <f aca="false">F14/76</f>
        <v>0.0789473684210526</v>
      </c>
    </row>
    <row r="15" customFormat="false" ht="15" hidden="false" customHeight="false" outlineLevel="0" collapsed="false">
      <c r="E15" s="18" t="s">
        <v>26</v>
      </c>
      <c r="F15" s="18" t="n">
        <v>5</v>
      </c>
      <c r="G15" s="19" t="n">
        <f aca="false">F15/76</f>
        <v>0.0657894736842105</v>
      </c>
    </row>
    <row r="16" customFormat="false" ht="15" hidden="false" customHeight="false" outlineLevel="0" collapsed="false">
      <c r="E16" s="14" t="s">
        <v>27</v>
      </c>
      <c r="F16" s="14" t="n">
        <v>4</v>
      </c>
      <c r="G16" s="15" t="n">
        <f aca="false">F16/76</f>
        <v>0.0526315789473684</v>
      </c>
    </row>
    <row r="17" customFormat="false" ht="15" hidden="false" customHeight="false" outlineLevel="0" collapsed="false">
      <c r="E17" s="18" t="s">
        <v>28</v>
      </c>
      <c r="F17" s="18" t="n">
        <v>4</v>
      </c>
      <c r="G17" s="19" t="n">
        <f aca="false">F17/76</f>
        <v>0.0526315789473684</v>
      </c>
    </row>
    <row r="18" customFormat="false" ht="15" hidden="false" customHeight="false" outlineLevel="0" collapsed="false">
      <c r="E18" s="14" t="s">
        <v>29</v>
      </c>
      <c r="F18" s="14" t="n">
        <v>4</v>
      </c>
      <c r="G18" s="15" t="n">
        <f aca="false">F18/76</f>
        <v>0.0526315789473684</v>
      </c>
    </row>
    <row r="19" customFormat="false" ht="15" hidden="false" customHeight="false" outlineLevel="0" collapsed="false">
      <c r="E19" s="18" t="s">
        <v>30</v>
      </c>
      <c r="F19" s="18" t="n">
        <v>4</v>
      </c>
      <c r="G19" s="19" t="n">
        <f aca="false">F19/76</f>
        <v>0.0526315789473684</v>
      </c>
    </row>
    <row r="20" customFormat="false" ht="15" hidden="false" customHeight="false" outlineLevel="0" collapsed="false">
      <c r="E20" s="14" t="s">
        <v>31</v>
      </c>
      <c r="F20" s="14" t="n">
        <v>3</v>
      </c>
      <c r="G20" s="15" t="n">
        <f aca="false">F20/76</f>
        <v>0.0394736842105263</v>
      </c>
    </row>
    <row r="21" customFormat="false" ht="15" hidden="false" customHeight="false" outlineLevel="0" collapsed="false">
      <c r="E21" s="18" t="s">
        <v>32</v>
      </c>
      <c r="F21" s="18" t="n">
        <v>2</v>
      </c>
      <c r="G21" s="19" t="n">
        <f aca="false">F21/76</f>
        <v>0.0263157894736842</v>
      </c>
    </row>
    <row r="22" customFormat="false" ht="15" hidden="false" customHeight="false" outlineLevel="0" collapsed="false">
      <c r="E22" s="14" t="s">
        <v>33</v>
      </c>
      <c r="F22" s="14" t="n">
        <v>2</v>
      </c>
      <c r="G22" s="15" t="n">
        <f aca="false">F22/76</f>
        <v>0.0263157894736842</v>
      </c>
    </row>
    <row r="23" customFormat="false" ht="15" hidden="false" customHeight="false" outlineLevel="0" collapsed="false">
      <c r="E23" s="18" t="s">
        <v>34</v>
      </c>
      <c r="F23" s="18" t="n">
        <v>1</v>
      </c>
      <c r="G23" s="19" t="n">
        <f aca="false">F23/76</f>
        <v>0.0131578947368421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36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35</v>
      </c>
    </row>
    <row r="2" customFormat="false" ht="15.75" hidden="false" customHeight="true" outlineLevel="0" collapsed="false">
      <c r="A2" s="22" t="s">
        <v>36</v>
      </c>
    </row>
    <row r="4" customFormat="false" ht="15" hidden="false" customHeight="false" outlineLevel="0" collapsed="false">
      <c r="A4" s="10" t="s">
        <v>37</v>
      </c>
      <c r="B4" s="10" t="s">
        <v>38</v>
      </c>
      <c r="C4" s="10" t="s">
        <v>39</v>
      </c>
      <c r="D4" s="10" t="s">
        <v>14</v>
      </c>
      <c r="E4" s="10" t="s">
        <v>11</v>
      </c>
      <c r="F4" s="10" t="s">
        <v>40</v>
      </c>
    </row>
    <row r="5" customFormat="false" ht="27.75" hidden="false" customHeight="true" outlineLevel="0" collapsed="false">
      <c r="A5" s="23" t="s">
        <v>41</v>
      </c>
      <c r="B5" s="23" t="s">
        <v>42</v>
      </c>
      <c r="C5" s="23" t="s">
        <v>43</v>
      </c>
      <c r="D5" s="23" t="s">
        <v>30</v>
      </c>
      <c r="E5" s="23" t="s">
        <v>16</v>
      </c>
      <c r="F5" s="23" t="s">
        <v>44</v>
      </c>
    </row>
    <row r="6" customFormat="false" ht="27.75" hidden="false" customHeight="true" outlineLevel="0" collapsed="false">
      <c r="A6" s="24" t="s">
        <v>41</v>
      </c>
      <c r="B6" s="24" t="s">
        <v>45</v>
      </c>
      <c r="C6" s="24" t="s">
        <v>43</v>
      </c>
      <c r="D6" s="24" t="s">
        <v>30</v>
      </c>
      <c r="E6" s="24" t="s">
        <v>16</v>
      </c>
      <c r="F6" s="24" t="s">
        <v>46</v>
      </c>
    </row>
    <row r="7" customFormat="false" ht="27.75" hidden="false" customHeight="true" outlineLevel="0" collapsed="false">
      <c r="A7" s="24" t="s">
        <v>41</v>
      </c>
      <c r="B7" s="24" t="s">
        <v>47</v>
      </c>
      <c r="C7" s="24" t="s">
        <v>43</v>
      </c>
      <c r="D7" s="24" t="s">
        <v>30</v>
      </c>
      <c r="E7" s="24" t="s">
        <v>16</v>
      </c>
      <c r="F7" s="24" t="s">
        <v>46</v>
      </c>
    </row>
    <row r="8" customFormat="false" ht="27.75" hidden="false" customHeight="true" outlineLevel="0" collapsed="false">
      <c r="A8" s="24" t="s">
        <v>41</v>
      </c>
      <c r="B8" s="24" t="s">
        <v>48</v>
      </c>
      <c r="C8" s="24" t="s">
        <v>43</v>
      </c>
      <c r="D8" s="24" t="s">
        <v>30</v>
      </c>
      <c r="E8" s="24" t="s">
        <v>16</v>
      </c>
      <c r="F8" s="24" t="s">
        <v>46</v>
      </c>
    </row>
    <row r="9" customFormat="false" ht="27.75" hidden="false" customHeight="true" outlineLevel="0" collapsed="false">
      <c r="A9" s="23" t="s">
        <v>49</v>
      </c>
      <c r="B9" s="23" t="s">
        <v>50</v>
      </c>
      <c r="C9" s="23" t="s">
        <v>51</v>
      </c>
      <c r="D9" s="23" t="s">
        <v>19</v>
      </c>
      <c r="E9" s="23" t="s">
        <v>16</v>
      </c>
      <c r="F9" s="23" t="s">
        <v>44</v>
      </c>
    </row>
    <row r="10" customFormat="false" ht="27.75" hidden="false" customHeight="true" outlineLevel="0" collapsed="false">
      <c r="A10" s="24" t="s">
        <v>49</v>
      </c>
      <c r="B10" s="24" t="s">
        <v>52</v>
      </c>
      <c r="C10" s="24" t="s">
        <v>51</v>
      </c>
      <c r="D10" s="24" t="s">
        <v>19</v>
      </c>
      <c r="E10" s="24" t="s">
        <v>16</v>
      </c>
      <c r="F10" s="24" t="s">
        <v>46</v>
      </c>
    </row>
    <row r="11" customFormat="false" ht="27.75" hidden="false" customHeight="true" outlineLevel="0" collapsed="false">
      <c r="A11" s="24" t="s">
        <v>49</v>
      </c>
      <c r="B11" s="24" t="s">
        <v>53</v>
      </c>
      <c r="C11" s="24" t="s">
        <v>51</v>
      </c>
      <c r="D11" s="24" t="s">
        <v>19</v>
      </c>
      <c r="E11" s="24" t="s">
        <v>16</v>
      </c>
      <c r="F11" s="24" t="s">
        <v>46</v>
      </c>
    </row>
    <row r="12" customFormat="false" ht="27.75" hidden="false" customHeight="true" outlineLevel="0" collapsed="false">
      <c r="A12" s="23" t="s">
        <v>54</v>
      </c>
      <c r="B12" s="23" t="s">
        <v>55</v>
      </c>
      <c r="C12" s="23" t="s">
        <v>56</v>
      </c>
      <c r="D12" s="23" t="s">
        <v>19</v>
      </c>
      <c r="E12" s="23" t="s">
        <v>16</v>
      </c>
      <c r="F12" s="23" t="s">
        <v>44</v>
      </c>
    </row>
    <row r="13" customFormat="false" ht="27.75" hidden="false" customHeight="true" outlineLevel="0" collapsed="false">
      <c r="A13" s="24" t="s">
        <v>54</v>
      </c>
      <c r="B13" s="24" t="s">
        <v>57</v>
      </c>
      <c r="C13" s="24" t="s">
        <v>56</v>
      </c>
      <c r="D13" s="24" t="s">
        <v>19</v>
      </c>
      <c r="E13" s="24" t="s">
        <v>16</v>
      </c>
      <c r="F13" s="24" t="s">
        <v>46</v>
      </c>
    </row>
    <row r="14" customFormat="false" ht="27.75" hidden="false" customHeight="true" outlineLevel="0" collapsed="false">
      <c r="A14" s="24" t="s">
        <v>54</v>
      </c>
      <c r="B14" s="24" t="s">
        <v>58</v>
      </c>
      <c r="C14" s="24" t="s">
        <v>56</v>
      </c>
      <c r="D14" s="24" t="s">
        <v>19</v>
      </c>
      <c r="E14" s="24" t="s">
        <v>16</v>
      </c>
      <c r="F14" s="24" t="s">
        <v>46</v>
      </c>
    </row>
    <row r="15" customFormat="false" ht="27.75" hidden="false" customHeight="true" outlineLevel="0" collapsed="false">
      <c r="A15" s="23" t="s">
        <v>59</v>
      </c>
      <c r="B15" s="23" t="s">
        <v>60</v>
      </c>
      <c r="C15" s="23" t="s">
        <v>61</v>
      </c>
      <c r="D15" s="23" t="s">
        <v>17</v>
      </c>
      <c r="E15" s="23" t="s">
        <v>16</v>
      </c>
      <c r="F15" s="23" t="s">
        <v>44</v>
      </c>
    </row>
    <row r="16" customFormat="false" ht="27.75" hidden="false" customHeight="true" outlineLevel="0" collapsed="false">
      <c r="A16" s="24" t="s">
        <v>59</v>
      </c>
      <c r="B16" s="24" t="s">
        <v>62</v>
      </c>
      <c r="C16" s="24" t="s">
        <v>61</v>
      </c>
      <c r="D16" s="24" t="s">
        <v>17</v>
      </c>
      <c r="E16" s="24" t="s">
        <v>16</v>
      </c>
      <c r="F16" s="24" t="s">
        <v>46</v>
      </c>
    </row>
    <row r="17" customFormat="false" ht="27.75" hidden="false" customHeight="true" outlineLevel="0" collapsed="false">
      <c r="A17" s="24" t="s">
        <v>59</v>
      </c>
      <c r="B17" s="24" t="s">
        <v>63</v>
      </c>
      <c r="C17" s="24" t="s">
        <v>61</v>
      </c>
      <c r="D17" s="24" t="s">
        <v>17</v>
      </c>
      <c r="E17" s="24" t="s">
        <v>16</v>
      </c>
      <c r="F17" s="24" t="s">
        <v>46</v>
      </c>
    </row>
    <row r="18" customFormat="false" ht="27.75" hidden="false" customHeight="true" outlineLevel="0" collapsed="false">
      <c r="A18" s="23" t="s">
        <v>64</v>
      </c>
      <c r="B18" s="23" t="s">
        <v>65</v>
      </c>
      <c r="C18" s="23" t="s">
        <v>66</v>
      </c>
      <c r="D18" s="23" t="s">
        <v>17</v>
      </c>
      <c r="E18" s="23" t="s">
        <v>16</v>
      </c>
      <c r="F18" s="23" t="s">
        <v>44</v>
      </c>
    </row>
    <row r="19" customFormat="false" ht="27.75" hidden="false" customHeight="true" outlineLevel="0" collapsed="false">
      <c r="A19" s="24" t="s">
        <v>64</v>
      </c>
      <c r="B19" s="24" t="s">
        <v>67</v>
      </c>
      <c r="C19" s="24" t="s">
        <v>66</v>
      </c>
      <c r="D19" s="24" t="s">
        <v>17</v>
      </c>
      <c r="E19" s="24" t="s">
        <v>16</v>
      </c>
      <c r="F19" s="24" t="s">
        <v>46</v>
      </c>
    </row>
    <row r="20" customFormat="false" ht="27.75" hidden="false" customHeight="true" outlineLevel="0" collapsed="false">
      <c r="A20" s="24" t="s">
        <v>64</v>
      </c>
      <c r="B20" s="24" t="s">
        <v>68</v>
      </c>
      <c r="C20" s="24" t="s">
        <v>66</v>
      </c>
      <c r="D20" s="24" t="s">
        <v>17</v>
      </c>
      <c r="E20" s="24" t="s">
        <v>16</v>
      </c>
      <c r="F20" s="24" t="s">
        <v>46</v>
      </c>
    </row>
    <row r="21" customFormat="false" ht="27.75" hidden="false" customHeight="true" outlineLevel="0" collapsed="false">
      <c r="A21" s="23" t="s">
        <v>69</v>
      </c>
      <c r="B21" s="23" t="s">
        <v>70</v>
      </c>
      <c r="C21" s="23" t="s">
        <v>71</v>
      </c>
      <c r="D21" s="23" t="s">
        <v>25</v>
      </c>
      <c r="E21" s="23" t="s">
        <v>16</v>
      </c>
      <c r="F21" s="23" t="s">
        <v>44</v>
      </c>
    </row>
    <row r="22" customFormat="false" ht="27.75" hidden="false" customHeight="true" outlineLevel="0" collapsed="false">
      <c r="A22" s="24" t="s">
        <v>69</v>
      </c>
      <c r="B22" s="24" t="s">
        <v>72</v>
      </c>
      <c r="C22" s="24" t="s">
        <v>71</v>
      </c>
      <c r="D22" s="24" t="s">
        <v>25</v>
      </c>
      <c r="E22" s="24" t="s">
        <v>16</v>
      </c>
      <c r="F22" s="24" t="s">
        <v>46</v>
      </c>
    </row>
    <row r="23" customFormat="false" ht="27.75" hidden="false" customHeight="true" outlineLevel="0" collapsed="false">
      <c r="A23" s="24" t="s">
        <v>69</v>
      </c>
      <c r="B23" s="24" t="s">
        <v>73</v>
      </c>
      <c r="C23" s="24" t="s">
        <v>71</v>
      </c>
      <c r="D23" s="24" t="s">
        <v>25</v>
      </c>
      <c r="E23" s="24" t="s">
        <v>16</v>
      </c>
      <c r="F23" s="24" t="s">
        <v>46</v>
      </c>
    </row>
    <row r="24" customFormat="false" ht="27.75" hidden="false" customHeight="true" outlineLevel="0" collapsed="false">
      <c r="A24" s="23" t="s">
        <v>74</v>
      </c>
      <c r="B24" s="23" t="s">
        <v>75</v>
      </c>
      <c r="C24" s="23" t="s">
        <v>76</v>
      </c>
      <c r="D24" s="23" t="s">
        <v>23</v>
      </c>
      <c r="E24" s="23" t="s">
        <v>16</v>
      </c>
      <c r="F24" s="23" t="s">
        <v>44</v>
      </c>
    </row>
    <row r="25" customFormat="false" ht="27.75" hidden="false" customHeight="true" outlineLevel="0" collapsed="false">
      <c r="A25" s="24" t="s">
        <v>74</v>
      </c>
      <c r="B25" s="24" t="s">
        <v>77</v>
      </c>
      <c r="C25" s="24" t="s">
        <v>76</v>
      </c>
      <c r="D25" s="24" t="s">
        <v>23</v>
      </c>
      <c r="E25" s="24" t="s">
        <v>16</v>
      </c>
      <c r="F25" s="24" t="s">
        <v>46</v>
      </c>
    </row>
    <row r="26" customFormat="false" ht="27.75" hidden="false" customHeight="true" outlineLevel="0" collapsed="false">
      <c r="A26" s="24" t="s">
        <v>74</v>
      </c>
      <c r="B26" s="24" t="s">
        <v>78</v>
      </c>
      <c r="C26" s="24" t="s">
        <v>76</v>
      </c>
      <c r="D26" s="24" t="s">
        <v>23</v>
      </c>
      <c r="E26" s="24" t="s">
        <v>16</v>
      </c>
      <c r="F26" s="24" t="s">
        <v>46</v>
      </c>
    </row>
    <row r="27" customFormat="false" ht="27.75" hidden="false" customHeight="true" outlineLevel="0" collapsed="false">
      <c r="A27" s="23" t="s">
        <v>79</v>
      </c>
      <c r="B27" s="23" t="s">
        <v>80</v>
      </c>
      <c r="C27" s="23" t="s">
        <v>81</v>
      </c>
      <c r="D27" s="23" t="s">
        <v>23</v>
      </c>
      <c r="E27" s="23" t="s">
        <v>16</v>
      </c>
      <c r="F27" s="23" t="s">
        <v>44</v>
      </c>
    </row>
    <row r="28" customFormat="false" ht="27.75" hidden="false" customHeight="true" outlineLevel="0" collapsed="false">
      <c r="A28" s="24" t="s">
        <v>79</v>
      </c>
      <c r="B28" s="24" t="s">
        <v>82</v>
      </c>
      <c r="C28" s="24" t="s">
        <v>81</v>
      </c>
      <c r="D28" s="24" t="s">
        <v>23</v>
      </c>
      <c r="E28" s="24" t="s">
        <v>16</v>
      </c>
      <c r="F28" s="24" t="s">
        <v>46</v>
      </c>
    </row>
    <row r="29" customFormat="false" ht="27.75" hidden="false" customHeight="true" outlineLevel="0" collapsed="false">
      <c r="A29" s="24" t="s">
        <v>79</v>
      </c>
      <c r="B29" s="24" t="s">
        <v>83</v>
      </c>
      <c r="C29" s="24" t="s">
        <v>81</v>
      </c>
      <c r="D29" s="24" t="s">
        <v>23</v>
      </c>
      <c r="E29" s="24" t="s">
        <v>16</v>
      </c>
      <c r="F29" s="24" t="s">
        <v>46</v>
      </c>
    </row>
    <row r="30" customFormat="false" ht="27.75" hidden="false" customHeight="true" outlineLevel="0" collapsed="false">
      <c r="A30" s="23" t="s">
        <v>84</v>
      </c>
      <c r="B30" s="23" t="s">
        <v>85</v>
      </c>
      <c r="C30" s="23" t="s">
        <v>86</v>
      </c>
      <c r="D30" s="23" t="s">
        <v>28</v>
      </c>
      <c r="E30" s="23" t="s">
        <v>16</v>
      </c>
      <c r="F30" s="23" t="s">
        <v>44</v>
      </c>
    </row>
    <row r="31" customFormat="false" ht="27.75" hidden="false" customHeight="true" outlineLevel="0" collapsed="false">
      <c r="A31" s="24" t="s">
        <v>84</v>
      </c>
      <c r="B31" s="24" t="s">
        <v>87</v>
      </c>
      <c r="C31" s="24" t="s">
        <v>86</v>
      </c>
      <c r="D31" s="24" t="s">
        <v>28</v>
      </c>
      <c r="E31" s="24" t="s">
        <v>16</v>
      </c>
      <c r="F31" s="24" t="s">
        <v>46</v>
      </c>
    </row>
    <row r="32" customFormat="false" ht="27.75" hidden="false" customHeight="true" outlineLevel="0" collapsed="false">
      <c r="A32" s="24" t="s">
        <v>84</v>
      </c>
      <c r="B32" s="24" t="s">
        <v>88</v>
      </c>
      <c r="C32" s="24" t="s">
        <v>86</v>
      </c>
      <c r="D32" s="24" t="s">
        <v>28</v>
      </c>
      <c r="E32" s="24" t="s">
        <v>16</v>
      </c>
      <c r="F32" s="24" t="s">
        <v>46</v>
      </c>
    </row>
    <row r="33" customFormat="false" ht="27.75" hidden="false" customHeight="true" outlineLevel="0" collapsed="false">
      <c r="A33" s="23" t="s">
        <v>89</v>
      </c>
      <c r="B33" s="23" t="s">
        <v>90</v>
      </c>
      <c r="C33" s="23" t="s">
        <v>91</v>
      </c>
      <c r="D33" s="23" t="s">
        <v>17</v>
      </c>
      <c r="E33" s="23" t="s">
        <v>16</v>
      </c>
      <c r="F33" s="23" t="s">
        <v>44</v>
      </c>
    </row>
    <row r="34" customFormat="false" ht="27.75" hidden="false" customHeight="true" outlineLevel="0" collapsed="false">
      <c r="A34" s="24" t="s">
        <v>89</v>
      </c>
      <c r="B34" s="24" t="s">
        <v>92</v>
      </c>
      <c r="C34" s="24" t="s">
        <v>91</v>
      </c>
      <c r="D34" s="24" t="s">
        <v>17</v>
      </c>
      <c r="E34" s="24" t="s">
        <v>16</v>
      </c>
      <c r="F34" s="24" t="s">
        <v>46</v>
      </c>
    </row>
    <row r="35" customFormat="false" ht="27.75" hidden="false" customHeight="true" outlineLevel="0" collapsed="false">
      <c r="A35" s="24" t="s">
        <v>89</v>
      </c>
      <c r="B35" s="24" t="s">
        <v>93</v>
      </c>
      <c r="C35" s="24" t="s">
        <v>91</v>
      </c>
      <c r="D35" s="24" t="s">
        <v>17</v>
      </c>
      <c r="E35" s="24" t="s">
        <v>16</v>
      </c>
      <c r="F35" s="24" t="s">
        <v>46</v>
      </c>
    </row>
    <row r="36" customFormat="false" ht="27.75" hidden="false" customHeight="true" outlineLevel="0" collapsed="false">
      <c r="A36" s="23" t="s">
        <v>94</v>
      </c>
      <c r="B36" s="23" t="s">
        <v>95</v>
      </c>
      <c r="C36" s="23" t="s">
        <v>96</v>
      </c>
      <c r="D36" s="23" t="s">
        <v>17</v>
      </c>
      <c r="E36" s="23" t="s">
        <v>16</v>
      </c>
      <c r="F36" s="23" t="s">
        <v>44</v>
      </c>
    </row>
    <row r="37" customFormat="false" ht="27.75" hidden="false" customHeight="true" outlineLevel="0" collapsed="false">
      <c r="A37" s="24" t="s">
        <v>94</v>
      </c>
      <c r="B37" s="24" t="s">
        <v>97</v>
      </c>
      <c r="C37" s="24" t="s">
        <v>96</v>
      </c>
      <c r="D37" s="24" t="s">
        <v>17</v>
      </c>
      <c r="E37" s="24" t="s">
        <v>16</v>
      </c>
      <c r="F37" s="24" t="s">
        <v>46</v>
      </c>
    </row>
    <row r="38" customFormat="false" ht="27.75" hidden="false" customHeight="true" outlineLevel="0" collapsed="false">
      <c r="A38" s="24" t="s">
        <v>94</v>
      </c>
      <c r="B38" s="24" t="s">
        <v>98</v>
      </c>
      <c r="C38" s="24" t="s">
        <v>96</v>
      </c>
      <c r="D38" s="24" t="s">
        <v>17</v>
      </c>
      <c r="E38" s="24" t="s">
        <v>16</v>
      </c>
      <c r="F38" s="24" t="s">
        <v>46</v>
      </c>
    </row>
    <row r="39" customFormat="false" ht="27.75" hidden="false" customHeight="true" outlineLevel="0" collapsed="false">
      <c r="A39" s="23" t="s">
        <v>99</v>
      </c>
      <c r="B39" s="23" t="s">
        <v>100</v>
      </c>
      <c r="C39" s="23" t="s">
        <v>101</v>
      </c>
      <c r="D39" s="23" t="s">
        <v>26</v>
      </c>
      <c r="E39" s="23" t="s">
        <v>16</v>
      </c>
      <c r="F39" s="23" t="s">
        <v>44</v>
      </c>
    </row>
    <row r="40" customFormat="false" ht="27.75" hidden="false" customHeight="true" outlineLevel="0" collapsed="false">
      <c r="A40" s="24" t="s">
        <v>99</v>
      </c>
      <c r="B40" s="24" t="s">
        <v>102</v>
      </c>
      <c r="C40" s="24" t="s">
        <v>101</v>
      </c>
      <c r="D40" s="24" t="s">
        <v>26</v>
      </c>
      <c r="E40" s="24" t="s">
        <v>16</v>
      </c>
      <c r="F40" s="24" t="s">
        <v>46</v>
      </c>
    </row>
    <row r="41" customFormat="false" ht="27.75" hidden="false" customHeight="true" outlineLevel="0" collapsed="false">
      <c r="A41" s="24" t="s">
        <v>99</v>
      </c>
      <c r="B41" s="24" t="s">
        <v>103</v>
      </c>
      <c r="C41" s="24" t="s">
        <v>101</v>
      </c>
      <c r="D41" s="24" t="s">
        <v>26</v>
      </c>
      <c r="E41" s="24" t="s">
        <v>16</v>
      </c>
      <c r="F41" s="24" t="s">
        <v>46</v>
      </c>
    </row>
    <row r="42" customFormat="false" ht="27.75" hidden="false" customHeight="true" outlineLevel="0" collapsed="false">
      <c r="A42" s="23" t="s">
        <v>104</v>
      </c>
      <c r="B42" s="23" t="s">
        <v>105</v>
      </c>
      <c r="C42" s="23" t="s">
        <v>106</v>
      </c>
      <c r="D42" s="23" t="s">
        <v>31</v>
      </c>
      <c r="E42" s="23" t="s">
        <v>16</v>
      </c>
      <c r="F42" s="23" t="s">
        <v>44</v>
      </c>
    </row>
    <row r="43" customFormat="false" ht="27.75" hidden="false" customHeight="true" outlineLevel="0" collapsed="false">
      <c r="A43" s="24" t="s">
        <v>104</v>
      </c>
      <c r="B43" s="24" t="s">
        <v>107</v>
      </c>
      <c r="C43" s="24" t="s">
        <v>106</v>
      </c>
      <c r="D43" s="24" t="s">
        <v>31</v>
      </c>
      <c r="E43" s="24" t="s">
        <v>16</v>
      </c>
      <c r="F43" s="24" t="s">
        <v>46</v>
      </c>
    </row>
    <row r="44" customFormat="false" ht="27.75" hidden="false" customHeight="true" outlineLevel="0" collapsed="false">
      <c r="A44" s="24" t="s">
        <v>104</v>
      </c>
      <c r="B44" s="24" t="s">
        <v>108</v>
      </c>
      <c r="C44" s="24" t="s">
        <v>106</v>
      </c>
      <c r="D44" s="24" t="s">
        <v>31</v>
      </c>
      <c r="E44" s="24" t="s">
        <v>16</v>
      </c>
      <c r="F44" s="2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7" min="6" style="0" width="12"/>
  </cols>
  <sheetData>
    <row r="1" customFormat="false" ht="17.35" hidden="false" customHeight="false" outlineLevel="0" collapsed="false">
      <c r="A1" s="1" t="s">
        <v>109</v>
      </c>
    </row>
    <row r="3" customFormat="false" ht="26.85" hidden="false" customHeight="false" outlineLevel="0" collapsed="false">
      <c r="A3" s="10" t="s">
        <v>38</v>
      </c>
      <c r="B3" s="10" t="s">
        <v>39</v>
      </c>
      <c r="C3" s="10" t="s">
        <v>110</v>
      </c>
      <c r="D3" s="10" t="s">
        <v>11</v>
      </c>
      <c r="E3" s="10" t="s">
        <v>14</v>
      </c>
      <c r="F3" s="10" t="s">
        <v>111</v>
      </c>
      <c r="G3" s="10" t="s">
        <v>112</v>
      </c>
    </row>
    <row r="4" customFormat="false" ht="23.85" hidden="false" customHeight="false" outlineLevel="0" collapsed="false">
      <c r="A4" s="12" t="s">
        <v>113</v>
      </c>
      <c r="B4" s="12" t="s">
        <v>114</v>
      </c>
      <c r="C4" s="12" t="s">
        <v>115</v>
      </c>
      <c r="D4" s="12" t="s">
        <v>20</v>
      </c>
      <c r="E4" s="12" t="s">
        <v>27</v>
      </c>
      <c r="F4" s="12" t="s">
        <v>116</v>
      </c>
      <c r="G4" s="12" t="s">
        <v>117</v>
      </c>
    </row>
    <row r="5" customFormat="false" ht="23.85" hidden="false" customHeight="false" outlineLevel="0" collapsed="false">
      <c r="A5" s="16" t="s">
        <v>118</v>
      </c>
      <c r="B5" s="16" t="s">
        <v>119</v>
      </c>
      <c r="C5" s="16" t="s">
        <v>120</v>
      </c>
      <c r="D5" s="16" t="s">
        <v>20</v>
      </c>
      <c r="E5" s="16" t="s">
        <v>27</v>
      </c>
      <c r="F5" s="16" t="s">
        <v>116</v>
      </c>
      <c r="G5" s="16" t="s">
        <v>117</v>
      </c>
    </row>
    <row r="6" customFormat="false" ht="23.85" hidden="false" customHeight="false" outlineLevel="0" collapsed="false">
      <c r="A6" s="12" t="s">
        <v>121</v>
      </c>
      <c r="B6" s="12" t="s">
        <v>122</v>
      </c>
      <c r="C6" s="12" t="s">
        <v>123</v>
      </c>
      <c r="D6" s="12" t="s">
        <v>20</v>
      </c>
      <c r="E6" s="12" t="s">
        <v>27</v>
      </c>
      <c r="F6" s="12" t="s">
        <v>116</v>
      </c>
      <c r="G6" s="12" t="s">
        <v>117</v>
      </c>
    </row>
    <row r="7" customFormat="false" ht="23.85" hidden="false" customHeight="false" outlineLevel="0" collapsed="false">
      <c r="A7" s="16" t="s">
        <v>124</v>
      </c>
      <c r="B7" s="16" t="s">
        <v>125</v>
      </c>
      <c r="C7" s="16" t="s">
        <v>126</v>
      </c>
      <c r="D7" s="16" t="s">
        <v>20</v>
      </c>
      <c r="E7" s="16" t="s">
        <v>27</v>
      </c>
      <c r="F7" s="16" t="s">
        <v>116</v>
      </c>
      <c r="G7" s="16" t="s">
        <v>117</v>
      </c>
    </row>
    <row r="8" customFormat="false" ht="15" hidden="false" customHeight="false" outlineLevel="0" collapsed="false">
      <c r="A8" s="12" t="s">
        <v>127</v>
      </c>
      <c r="B8" s="12" t="s">
        <v>128</v>
      </c>
      <c r="C8" s="12" t="s">
        <v>129</v>
      </c>
      <c r="D8" s="12" t="s">
        <v>20</v>
      </c>
      <c r="E8" s="12" t="s">
        <v>25</v>
      </c>
      <c r="F8" s="12" t="s">
        <v>116</v>
      </c>
      <c r="G8" s="12" t="s">
        <v>117</v>
      </c>
    </row>
    <row r="9" customFormat="false" ht="15" hidden="false" customHeight="false" outlineLevel="0" collapsed="false">
      <c r="A9" s="16" t="s">
        <v>130</v>
      </c>
      <c r="B9" s="16" t="s">
        <v>131</v>
      </c>
      <c r="C9" s="16" t="s">
        <v>132</v>
      </c>
      <c r="D9" s="16" t="s">
        <v>20</v>
      </c>
      <c r="E9" s="16" t="s">
        <v>21</v>
      </c>
      <c r="F9" s="16" t="s">
        <v>116</v>
      </c>
      <c r="G9" s="16" t="s">
        <v>117</v>
      </c>
    </row>
    <row r="10" customFormat="false" ht="15" hidden="false" customHeight="false" outlineLevel="0" collapsed="false">
      <c r="A10" s="12" t="s">
        <v>133</v>
      </c>
      <c r="B10" s="12" t="s">
        <v>134</v>
      </c>
      <c r="C10" s="12" t="s">
        <v>135</v>
      </c>
      <c r="D10" s="12" t="s">
        <v>20</v>
      </c>
      <c r="E10" s="12" t="s">
        <v>32</v>
      </c>
      <c r="F10" s="12" t="s">
        <v>116</v>
      </c>
      <c r="G10" s="12" t="s">
        <v>117</v>
      </c>
    </row>
    <row r="11" customFormat="false" ht="15" hidden="false" customHeight="false" outlineLevel="0" collapsed="false">
      <c r="A11" s="16" t="s">
        <v>136</v>
      </c>
      <c r="B11" s="16" t="s">
        <v>137</v>
      </c>
      <c r="C11" s="16" t="s">
        <v>138</v>
      </c>
      <c r="D11" s="16" t="s">
        <v>20</v>
      </c>
      <c r="E11" s="16" t="s">
        <v>19</v>
      </c>
      <c r="F11" s="16" t="s">
        <v>116</v>
      </c>
      <c r="G11" s="16" t="s">
        <v>117</v>
      </c>
    </row>
    <row r="12" customFormat="false" ht="15" hidden="false" customHeight="false" outlineLevel="0" collapsed="false">
      <c r="A12" s="12" t="s">
        <v>139</v>
      </c>
      <c r="B12" s="12" t="s">
        <v>140</v>
      </c>
      <c r="C12" s="12" t="s">
        <v>141</v>
      </c>
      <c r="D12" s="12" t="s">
        <v>20</v>
      </c>
      <c r="E12" s="12" t="s">
        <v>21</v>
      </c>
      <c r="F12" s="12" t="s">
        <v>116</v>
      </c>
      <c r="G12" s="12" t="s">
        <v>117</v>
      </c>
    </row>
    <row r="13" customFormat="false" ht="15" hidden="false" customHeight="false" outlineLevel="0" collapsed="false">
      <c r="A13" s="16" t="s">
        <v>142</v>
      </c>
      <c r="B13" s="16" t="s">
        <v>143</v>
      </c>
      <c r="C13" s="16" t="s">
        <v>144</v>
      </c>
      <c r="D13" s="16" t="s">
        <v>20</v>
      </c>
      <c r="E13" s="16" t="s">
        <v>21</v>
      </c>
      <c r="F13" s="16" t="s">
        <v>116</v>
      </c>
      <c r="G13" s="16" t="s">
        <v>117</v>
      </c>
    </row>
    <row r="14" customFormat="false" ht="15" hidden="false" customHeight="false" outlineLevel="0" collapsed="false">
      <c r="A14" s="12" t="s">
        <v>145</v>
      </c>
      <c r="B14" s="12" t="s">
        <v>146</v>
      </c>
      <c r="C14" s="12" t="s">
        <v>147</v>
      </c>
      <c r="D14" s="12" t="s">
        <v>20</v>
      </c>
      <c r="E14" s="12" t="s">
        <v>28</v>
      </c>
      <c r="F14" s="12" t="s">
        <v>116</v>
      </c>
      <c r="G14" s="12" t="s">
        <v>117</v>
      </c>
    </row>
    <row r="15" customFormat="false" ht="23.85" hidden="false" customHeight="false" outlineLevel="0" collapsed="false">
      <c r="A15" s="16" t="s">
        <v>148</v>
      </c>
      <c r="B15" s="16" t="s">
        <v>149</v>
      </c>
      <c r="C15" s="16" t="s">
        <v>150</v>
      </c>
      <c r="D15" s="16" t="s">
        <v>18</v>
      </c>
      <c r="E15" s="16" t="s">
        <v>21</v>
      </c>
      <c r="F15" s="16" t="s">
        <v>116</v>
      </c>
      <c r="G15" s="16" t="s">
        <v>117</v>
      </c>
    </row>
    <row r="16" customFormat="false" ht="23.85" hidden="false" customHeight="false" outlineLevel="0" collapsed="false">
      <c r="A16" s="12" t="s">
        <v>151</v>
      </c>
      <c r="B16" s="12" t="s">
        <v>152</v>
      </c>
      <c r="C16" s="12" t="s">
        <v>153</v>
      </c>
      <c r="D16" s="12" t="s">
        <v>18</v>
      </c>
      <c r="E16" s="12" t="s">
        <v>21</v>
      </c>
      <c r="F16" s="12" t="s">
        <v>116</v>
      </c>
      <c r="G16" s="12" t="s">
        <v>117</v>
      </c>
    </row>
    <row r="17" customFormat="false" ht="23.85" hidden="false" customHeight="false" outlineLevel="0" collapsed="false">
      <c r="A17" s="16" t="s">
        <v>154</v>
      </c>
      <c r="B17" s="16" t="s">
        <v>155</v>
      </c>
      <c r="C17" s="16" t="s">
        <v>156</v>
      </c>
      <c r="D17" s="16" t="s">
        <v>18</v>
      </c>
      <c r="E17" s="16" t="s">
        <v>34</v>
      </c>
      <c r="F17" s="16" t="s">
        <v>116</v>
      </c>
      <c r="G17" s="16" t="s">
        <v>117</v>
      </c>
    </row>
    <row r="18" customFormat="false" ht="23.85" hidden="false" customHeight="false" outlineLevel="0" collapsed="false">
      <c r="A18" s="12" t="s">
        <v>157</v>
      </c>
      <c r="B18" s="12" t="s">
        <v>158</v>
      </c>
      <c r="C18" s="12" t="s">
        <v>159</v>
      </c>
      <c r="D18" s="12" t="s">
        <v>18</v>
      </c>
      <c r="E18" s="12" t="s">
        <v>26</v>
      </c>
      <c r="F18" s="12" t="s">
        <v>116</v>
      </c>
      <c r="G18" s="12" t="s">
        <v>117</v>
      </c>
    </row>
    <row r="19" customFormat="false" ht="23.85" hidden="false" customHeight="false" outlineLevel="0" collapsed="false">
      <c r="A19" s="16" t="s">
        <v>160</v>
      </c>
      <c r="B19" s="16" t="s">
        <v>161</v>
      </c>
      <c r="C19" s="16" t="s">
        <v>162</v>
      </c>
      <c r="D19" s="16" t="s">
        <v>18</v>
      </c>
      <c r="E19" s="16" t="s">
        <v>26</v>
      </c>
      <c r="F19" s="16" t="s">
        <v>116</v>
      </c>
      <c r="G19" s="16" t="s">
        <v>117</v>
      </c>
    </row>
    <row r="20" customFormat="false" ht="23.85" hidden="false" customHeight="false" outlineLevel="0" collapsed="false">
      <c r="A20" s="12" t="s">
        <v>163</v>
      </c>
      <c r="B20" s="12" t="s">
        <v>164</v>
      </c>
      <c r="C20" s="12" t="s">
        <v>165</v>
      </c>
      <c r="D20" s="12" t="s">
        <v>18</v>
      </c>
      <c r="E20" s="12" t="s">
        <v>21</v>
      </c>
      <c r="F20" s="12" t="s">
        <v>116</v>
      </c>
      <c r="G20" s="12" t="s">
        <v>117</v>
      </c>
    </row>
    <row r="21" customFormat="false" ht="23.85" hidden="false" customHeight="false" outlineLevel="0" collapsed="false">
      <c r="A21" s="16" t="s">
        <v>166</v>
      </c>
      <c r="B21" s="16" t="s">
        <v>167</v>
      </c>
      <c r="C21" s="16" t="s">
        <v>168</v>
      </c>
      <c r="D21" s="16" t="s">
        <v>18</v>
      </c>
      <c r="E21" s="16" t="s">
        <v>29</v>
      </c>
      <c r="F21" s="16" t="s">
        <v>116</v>
      </c>
      <c r="G21" s="16" t="s">
        <v>117</v>
      </c>
    </row>
    <row r="22" customFormat="false" ht="23.85" hidden="false" customHeight="false" outlineLevel="0" collapsed="false">
      <c r="A22" s="12" t="s">
        <v>169</v>
      </c>
      <c r="B22" s="12" t="s">
        <v>170</v>
      </c>
      <c r="C22" s="12" t="s">
        <v>171</v>
      </c>
      <c r="D22" s="12" t="s">
        <v>18</v>
      </c>
      <c r="E22" s="12" t="s">
        <v>29</v>
      </c>
      <c r="F22" s="12" t="s">
        <v>116</v>
      </c>
      <c r="G22" s="12" t="s">
        <v>117</v>
      </c>
    </row>
    <row r="23" customFormat="false" ht="23.85" hidden="false" customHeight="false" outlineLevel="0" collapsed="false">
      <c r="A23" s="16" t="s">
        <v>172</v>
      </c>
      <c r="B23" s="16" t="s">
        <v>173</v>
      </c>
      <c r="C23" s="16" t="s">
        <v>174</v>
      </c>
      <c r="D23" s="16" t="s">
        <v>18</v>
      </c>
      <c r="E23" s="16" t="s">
        <v>19</v>
      </c>
      <c r="F23" s="16" t="s">
        <v>116</v>
      </c>
      <c r="G23" s="16" t="s">
        <v>117</v>
      </c>
    </row>
    <row r="24" customFormat="false" ht="23.85" hidden="false" customHeight="false" outlineLevel="0" collapsed="false">
      <c r="A24" s="12" t="s">
        <v>175</v>
      </c>
      <c r="B24" s="12" t="s">
        <v>176</v>
      </c>
      <c r="C24" s="12" t="s">
        <v>177</v>
      </c>
      <c r="D24" s="12" t="s">
        <v>18</v>
      </c>
      <c r="E24" s="12" t="s">
        <v>19</v>
      </c>
      <c r="F24" s="12" t="s">
        <v>116</v>
      </c>
      <c r="G24" s="12" t="s">
        <v>117</v>
      </c>
    </row>
    <row r="25" customFormat="false" ht="15" hidden="false" customHeight="false" outlineLevel="0" collapsed="false">
      <c r="A25" s="16" t="s">
        <v>178</v>
      </c>
      <c r="B25" s="16" t="s">
        <v>179</v>
      </c>
      <c r="C25" s="16" t="s">
        <v>180</v>
      </c>
      <c r="D25" s="16" t="s">
        <v>22</v>
      </c>
      <c r="E25" s="16" t="s">
        <v>23</v>
      </c>
      <c r="F25" s="16" t="s">
        <v>116</v>
      </c>
      <c r="G25" s="16" t="s">
        <v>117</v>
      </c>
    </row>
    <row r="26" customFormat="false" ht="15" hidden="false" customHeight="false" outlineLevel="0" collapsed="false">
      <c r="A26" s="12" t="s">
        <v>181</v>
      </c>
      <c r="B26" s="12" t="s">
        <v>182</v>
      </c>
      <c r="C26" s="12" t="s">
        <v>183</v>
      </c>
      <c r="D26" s="12" t="s">
        <v>22</v>
      </c>
      <c r="E26" s="12" t="s">
        <v>23</v>
      </c>
      <c r="F26" s="12" t="s">
        <v>116</v>
      </c>
      <c r="G26" s="12" t="s">
        <v>117</v>
      </c>
    </row>
    <row r="27" customFormat="false" ht="23.85" hidden="false" customHeight="false" outlineLevel="0" collapsed="false">
      <c r="A27" s="16" t="s">
        <v>184</v>
      </c>
      <c r="B27" s="16" t="s">
        <v>185</v>
      </c>
      <c r="C27" s="16" t="s">
        <v>186</v>
      </c>
      <c r="D27" s="16" t="s">
        <v>22</v>
      </c>
      <c r="E27" s="16" t="s">
        <v>33</v>
      </c>
      <c r="F27" s="16" t="s">
        <v>116</v>
      </c>
      <c r="G27" s="16" t="s">
        <v>117</v>
      </c>
    </row>
    <row r="28" customFormat="false" ht="23.85" hidden="false" customHeight="false" outlineLevel="0" collapsed="false">
      <c r="A28" s="12" t="s">
        <v>187</v>
      </c>
      <c r="B28" s="12" t="s">
        <v>188</v>
      </c>
      <c r="C28" s="12" t="s">
        <v>189</v>
      </c>
      <c r="D28" s="12" t="s">
        <v>22</v>
      </c>
      <c r="E28" s="12" t="s">
        <v>33</v>
      </c>
      <c r="F28" s="12" t="s">
        <v>116</v>
      </c>
      <c r="G28" s="12" t="s">
        <v>117</v>
      </c>
    </row>
    <row r="29" customFormat="false" ht="15" hidden="false" customHeight="false" outlineLevel="0" collapsed="false">
      <c r="A29" s="16" t="s">
        <v>100</v>
      </c>
      <c r="B29" s="16" t="s">
        <v>101</v>
      </c>
      <c r="C29" s="16" t="s">
        <v>99</v>
      </c>
      <c r="D29" s="16" t="s">
        <v>16</v>
      </c>
      <c r="E29" s="16" t="s">
        <v>26</v>
      </c>
      <c r="F29" s="16" t="s">
        <v>116</v>
      </c>
      <c r="G29" s="16" t="s">
        <v>117</v>
      </c>
    </row>
    <row r="30" customFormat="false" ht="23.85" hidden="false" customHeight="false" outlineLevel="0" collapsed="false">
      <c r="A30" s="12" t="s">
        <v>95</v>
      </c>
      <c r="B30" s="12" t="s">
        <v>96</v>
      </c>
      <c r="C30" s="12" t="s">
        <v>94</v>
      </c>
      <c r="D30" s="12" t="s">
        <v>16</v>
      </c>
      <c r="E30" s="12" t="s">
        <v>17</v>
      </c>
      <c r="F30" s="12" t="s">
        <v>116</v>
      </c>
      <c r="G30" s="12" t="s">
        <v>117</v>
      </c>
    </row>
    <row r="31" customFormat="false" ht="23.85" hidden="false" customHeight="false" outlineLevel="0" collapsed="false">
      <c r="A31" s="16" t="s">
        <v>85</v>
      </c>
      <c r="B31" s="16" t="s">
        <v>86</v>
      </c>
      <c r="C31" s="16" t="s">
        <v>84</v>
      </c>
      <c r="D31" s="16" t="s">
        <v>16</v>
      </c>
      <c r="E31" s="16" t="s">
        <v>28</v>
      </c>
      <c r="F31" s="16" t="s">
        <v>116</v>
      </c>
      <c r="G31" s="16" t="s">
        <v>117</v>
      </c>
    </row>
    <row r="32" customFormat="false" ht="23.85" hidden="false" customHeight="false" outlineLevel="0" collapsed="false">
      <c r="A32" s="12" t="s">
        <v>80</v>
      </c>
      <c r="B32" s="12" t="s">
        <v>81</v>
      </c>
      <c r="C32" s="12" t="s">
        <v>79</v>
      </c>
      <c r="D32" s="12" t="s">
        <v>16</v>
      </c>
      <c r="E32" s="12" t="s">
        <v>23</v>
      </c>
      <c r="F32" s="12" t="s">
        <v>116</v>
      </c>
      <c r="G32" s="12" t="s">
        <v>117</v>
      </c>
    </row>
    <row r="33" customFormat="false" ht="23.85" hidden="false" customHeight="false" outlineLevel="0" collapsed="false">
      <c r="A33" s="16" t="s">
        <v>75</v>
      </c>
      <c r="B33" s="16" t="s">
        <v>76</v>
      </c>
      <c r="C33" s="16" t="s">
        <v>74</v>
      </c>
      <c r="D33" s="16" t="s">
        <v>16</v>
      </c>
      <c r="E33" s="16" t="s">
        <v>23</v>
      </c>
      <c r="F33" s="16" t="s">
        <v>116</v>
      </c>
      <c r="G33" s="16" t="s">
        <v>117</v>
      </c>
    </row>
    <row r="34" customFormat="false" ht="23.85" hidden="false" customHeight="false" outlineLevel="0" collapsed="false">
      <c r="A34" s="12" t="s">
        <v>70</v>
      </c>
      <c r="B34" s="12" t="s">
        <v>71</v>
      </c>
      <c r="C34" s="12" t="s">
        <v>69</v>
      </c>
      <c r="D34" s="12" t="s">
        <v>16</v>
      </c>
      <c r="E34" s="12" t="s">
        <v>25</v>
      </c>
      <c r="F34" s="12" t="s">
        <v>116</v>
      </c>
      <c r="G34" s="12" t="s">
        <v>117</v>
      </c>
    </row>
    <row r="35" customFormat="false" ht="23.85" hidden="false" customHeight="false" outlineLevel="0" collapsed="false">
      <c r="A35" s="16" t="s">
        <v>65</v>
      </c>
      <c r="B35" s="16" t="s">
        <v>66</v>
      </c>
      <c r="C35" s="16" t="s">
        <v>64</v>
      </c>
      <c r="D35" s="16" t="s">
        <v>16</v>
      </c>
      <c r="E35" s="16" t="s">
        <v>17</v>
      </c>
      <c r="F35" s="16" t="s">
        <v>116</v>
      </c>
      <c r="G35" s="16" t="s">
        <v>117</v>
      </c>
    </row>
    <row r="36" customFormat="false" ht="23.85" hidden="false" customHeight="false" outlineLevel="0" collapsed="false">
      <c r="A36" s="12" t="s">
        <v>60</v>
      </c>
      <c r="B36" s="12" t="s">
        <v>61</v>
      </c>
      <c r="C36" s="12" t="s">
        <v>59</v>
      </c>
      <c r="D36" s="12" t="s">
        <v>16</v>
      </c>
      <c r="E36" s="12" t="s">
        <v>17</v>
      </c>
      <c r="F36" s="12" t="s">
        <v>116</v>
      </c>
      <c r="G36" s="12" t="s">
        <v>117</v>
      </c>
    </row>
    <row r="37" customFormat="false" ht="23.85" hidden="false" customHeight="false" outlineLevel="0" collapsed="false">
      <c r="A37" s="16" t="s">
        <v>55</v>
      </c>
      <c r="B37" s="16" t="s">
        <v>56</v>
      </c>
      <c r="C37" s="16" t="s">
        <v>54</v>
      </c>
      <c r="D37" s="16" t="s">
        <v>16</v>
      </c>
      <c r="E37" s="16" t="s">
        <v>19</v>
      </c>
      <c r="F37" s="16" t="s">
        <v>116</v>
      </c>
      <c r="G37" s="16" t="s">
        <v>117</v>
      </c>
    </row>
    <row r="38" customFormat="false" ht="23.85" hidden="false" customHeight="false" outlineLevel="0" collapsed="false">
      <c r="A38" s="12" t="s">
        <v>50</v>
      </c>
      <c r="B38" s="12" t="s">
        <v>51</v>
      </c>
      <c r="C38" s="12" t="s">
        <v>49</v>
      </c>
      <c r="D38" s="12" t="s">
        <v>16</v>
      </c>
      <c r="E38" s="12" t="s">
        <v>19</v>
      </c>
      <c r="F38" s="12" t="s">
        <v>116</v>
      </c>
      <c r="G38" s="12" t="s">
        <v>117</v>
      </c>
    </row>
    <row r="39" customFormat="false" ht="15" hidden="false" customHeight="false" outlineLevel="0" collapsed="false">
      <c r="A39" s="16" t="s">
        <v>102</v>
      </c>
      <c r="B39" s="16" t="s">
        <v>101</v>
      </c>
      <c r="C39" s="16" t="s">
        <v>99</v>
      </c>
      <c r="D39" s="16" t="s">
        <v>16</v>
      </c>
      <c r="E39" s="16" t="s">
        <v>26</v>
      </c>
      <c r="F39" s="16" t="s">
        <v>116</v>
      </c>
      <c r="G39" s="16" t="s">
        <v>117</v>
      </c>
    </row>
    <row r="40" customFormat="false" ht="23.85" hidden="false" customHeight="false" outlineLevel="0" collapsed="false">
      <c r="A40" s="12" t="s">
        <v>97</v>
      </c>
      <c r="B40" s="12" t="s">
        <v>96</v>
      </c>
      <c r="C40" s="12" t="s">
        <v>94</v>
      </c>
      <c r="D40" s="12" t="s">
        <v>16</v>
      </c>
      <c r="E40" s="12" t="s">
        <v>17</v>
      </c>
      <c r="F40" s="12" t="s">
        <v>116</v>
      </c>
      <c r="G40" s="12" t="s">
        <v>117</v>
      </c>
    </row>
    <row r="41" customFormat="false" ht="23.85" hidden="false" customHeight="false" outlineLevel="0" collapsed="false">
      <c r="A41" s="16" t="s">
        <v>87</v>
      </c>
      <c r="B41" s="16" t="s">
        <v>86</v>
      </c>
      <c r="C41" s="16" t="s">
        <v>84</v>
      </c>
      <c r="D41" s="16" t="s">
        <v>16</v>
      </c>
      <c r="E41" s="16" t="s">
        <v>28</v>
      </c>
      <c r="F41" s="16" t="s">
        <v>116</v>
      </c>
      <c r="G41" s="16" t="s">
        <v>117</v>
      </c>
    </row>
    <row r="42" customFormat="false" ht="23.85" hidden="false" customHeight="false" outlineLevel="0" collapsed="false">
      <c r="A42" s="12" t="s">
        <v>82</v>
      </c>
      <c r="B42" s="12" t="s">
        <v>81</v>
      </c>
      <c r="C42" s="12" t="s">
        <v>79</v>
      </c>
      <c r="D42" s="12" t="s">
        <v>16</v>
      </c>
      <c r="E42" s="12" t="s">
        <v>23</v>
      </c>
      <c r="F42" s="12" t="s">
        <v>116</v>
      </c>
      <c r="G42" s="12" t="s">
        <v>117</v>
      </c>
    </row>
    <row r="43" customFormat="false" ht="23.85" hidden="false" customHeight="false" outlineLevel="0" collapsed="false">
      <c r="A43" s="16" t="s">
        <v>77</v>
      </c>
      <c r="B43" s="16" t="s">
        <v>76</v>
      </c>
      <c r="C43" s="16" t="s">
        <v>74</v>
      </c>
      <c r="D43" s="16" t="s">
        <v>16</v>
      </c>
      <c r="E43" s="16" t="s">
        <v>23</v>
      </c>
      <c r="F43" s="16" t="s">
        <v>116</v>
      </c>
      <c r="G43" s="16" t="s">
        <v>117</v>
      </c>
    </row>
    <row r="44" customFormat="false" ht="23.85" hidden="false" customHeight="false" outlineLevel="0" collapsed="false">
      <c r="A44" s="12" t="s">
        <v>72</v>
      </c>
      <c r="B44" s="12" t="s">
        <v>71</v>
      </c>
      <c r="C44" s="12" t="s">
        <v>69</v>
      </c>
      <c r="D44" s="12" t="s">
        <v>16</v>
      </c>
      <c r="E44" s="12" t="s">
        <v>25</v>
      </c>
      <c r="F44" s="12" t="s">
        <v>116</v>
      </c>
      <c r="G44" s="12" t="s">
        <v>117</v>
      </c>
    </row>
    <row r="45" customFormat="false" ht="23.85" hidden="false" customHeight="false" outlineLevel="0" collapsed="false">
      <c r="A45" s="16" t="s">
        <v>67</v>
      </c>
      <c r="B45" s="16" t="s">
        <v>66</v>
      </c>
      <c r="C45" s="16" t="s">
        <v>64</v>
      </c>
      <c r="D45" s="16" t="s">
        <v>16</v>
      </c>
      <c r="E45" s="16" t="s">
        <v>17</v>
      </c>
      <c r="F45" s="16" t="s">
        <v>116</v>
      </c>
      <c r="G45" s="16" t="s">
        <v>117</v>
      </c>
    </row>
    <row r="46" customFormat="false" ht="23.85" hidden="false" customHeight="false" outlineLevel="0" collapsed="false">
      <c r="A46" s="12" t="s">
        <v>62</v>
      </c>
      <c r="B46" s="12" t="s">
        <v>61</v>
      </c>
      <c r="C46" s="12" t="s">
        <v>59</v>
      </c>
      <c r="D46" s="12" t="s">
        <v>16</v>
      </c>
      <c r="E46" s="12" t="s">
        <v>17</v>
      </c>
      <c r="F46" s="12" t="s">
        <v>116</v>
      </c>
      <c r="G46" s="12" t="s">
        <v>117</v>
      </c>
    </row>
    <row r="47" customFormat="false" ht="23.85" hidden="false" customHeight="false" outlineLevel="0" collapsed="false">
      <c r="A47" s="16" t="s">
        <v>57</v>
      </c>
      <c r="B47" s="16" t="s">
        <v>56</v>
      </c>
      <c r="C47" s="16" t="s">
        <v>54</v>
      </c>
      <c r="D47" s="16" t="s">
        <v>16</v>
      </c>
      <c r="E47" s="16" t="s">
        <v>19</v>
      </c>
      <c r="F47" s="16" t="s">
        <v>116</v>
      </c>
      <c r="G47" s="16" t="s">
        <v>117</v>
      </c>
    </row>
    <row r="48" customFormat="false" ht="23.85" hidden="false" customHeight="false" outlineLevel="0" collapsed="false">
      <c r="A48" s="12" t="s">
        <v>52</v>
      </c>
      <c r="B48" s="12" t="s">
        <v>51</v>
      </c>
      <c r="C48" s="12" t="s">
        <v>49</v>
      </c>
      <c r="D48" s="12" t="s">
        <v>16</v>
      </c>
      <c r="E48" s="12" t="s">
        <v>19</v>
      </c>
      <c r="F48" s="12" t="s">
        <v>116</v>
      </c>
      <c r="G48" s="12" t="s">
        <v>117</v>
      </c>
    </row>
    <row r="49" customFormat="false" ht="15" hidden="false" customHeight="false" outlineLevel="0" collapsed="false">
      <c r="A49" s="16" t="s">
        <v>103</v>
      </c>
      <c r="B49" s="16" t="s">
        <v>101</v>
      </c>
      <c r="C49" s="16" t="s">
        <v>99</v>
      </c>
      <c r="D49" s="16" t="s">
        <v>16</v>
      </c>
      <c r="E49" s="16" t="s">
        <v>26</v>
      </c>
      <c r="F49" s="16" t="s">
        <v>116</v>
      </c>
      <c r="G49" s="16" t="s">
        <v>117</v>
      </c>
    </row>
    <row r="50" customFormat="false" ht="23.85" hidden="false" customHeight="false" outlineLevel="0" collapsed="false">
      <c r="A50" s="12" t="s">
        <v>98</v>
      </c>
      <c r="B50" s="12" t="s">
        <v>96</v>
      </c>
      <c r="C50" s="12" t="s">
        <v>94</v>
      </c>
      <c r="D50" s="12" t="s">
        <v>16</v>
      </c>
      <c r="E50" s="12" t="s">
        <v>17</v>
      </c>
      <c r="F50" s="12" t="s">
        <v>116</v>
      </c>
      <c r="G50" s="12" t="s">
        <v>117</v>
      </c>
    </row>
    <row r="51" customFormat="false" ht="23.85" hidden="false" customHeight="false" outlineLevel="0" collapsed="false">
      <c r="A51" s="16" t="s">
        <v>88</v>
      </c>
      <c r="B51" s="16" t="s">
        <v>86</v>
      </c>
      <c r="C51" s="16" t="s">
        <v>84</v>
      </c>
      <c r="D51" s="16" t="s">
        <v>16</v>
      </c>
      <c r="E51" s="16" t="s">
        <v>28</v>
      </c>
      <c r="F51" s="16" t="s">
        <v>116</v>
      </c>
      <c r="G51" s="16" t="s">
        <v>117</v>
      </c>
    </row>
    <row r="52" customFormat="false" ht="23.85" hidden="false" customHeight="false" outlineLevel="0" collapsed="false">
      <c r="A52" s="12" t="s">
        <v>83</v>
      </c>
      <c r="B52" s="12" t="s">
        <v>81</v>
      </c>
      <c r="C52" s="12" t="s">
        <v>79</v>
      </c>
      <c r="D52" s="12" t="s">
        <v>16</v>
      </c>
      <c r="E52" s="12" t="s">
        <v>23</v>
      </c>
      <c r="F52" s="12" t="s">
        <v>116</v>
      </c>
      <c r="G52" s="12" t="s">
        <v>117</v>
      </c>
    </row>
    <row r="53" customFormat="false" ht="23.85" hidden="false" customHeight="false" outlineLevel="0" collapsed="false">
      <c r="A53" s="16" t="s">
        <v>78</v>
      </c>
      <c r="B53" s="16" t="s">
        <v>76</v>
      </c>
      <c r="C53" s="16" t="s">
        <v>74</v>
      </c>
      <c r="D53" s="16" t="s">
        <v>16</v>
      </c>
      <c r="E53" s="16" t="s">
        <v>23</v>
      </c>
      <c r="F53" s="16" t="s">
        <v>116</v>
      </c>
      <c r="G53" s="16" t="s">
        <v>117</v>
      </c>
    </row>
    <row r="54" customFormat="false" ht="23.85" hidden="false" customHeight="false" outlineLevel="0" collapsed="false">
      <c r="A54" s="12" t="s">
        <v>73</v>
      </c>
      <c r="B54" s="12" t="s">
        <v>71</v>
      </c>
      <c r="C54" s="12" t="s">
        <v>69</v>
      </c>
      <c r="D54" s="12" t="s">
        <v>16</v>
      </c>
      <c r="E54" s="12" t="s">
        <v>25</v>
      </c>
      <c r="F54" s="12" t="s">
        <v>116</v>
      </c>
      <c r="G54" s="12" t="s">
        <v>117</v>
      </c>
    </row>
    <row r="55" customFormat="false" ht="23.85" hidden="false" customHeight="false" outlineLevel="0" collapsed="false">
      <c r="A55" s="16" t="s">
        <v>68</v>
      </c>
      <c r="B55" s="16" t="s">
        <v>66</v>
      </c>
      <c r="C55" s="16" t="s">
        <v>64</v>
      </c>
      <c r="D55" s="16" t="s">
        <v>16</v>
      </c>
      <c r="E55" s="16" t="s">
        <v>17</v>
      </c>
      <c r="F55" s="16" t="s">
        <v>116</v>
      </c>
      <c r="G55" s="16" t="s">
        <v>117</v>
      </c>
    </row>
    <row r="56" customFormat="false" ht="23.85" hidden="false" customHeight="false" outlineLevel="0" collapsed="false">
      <c r="A56" s="12" t="s">
        <v>63</v>
      </c>
      <c r="B56" s="12" t="s">
        <v>61</v>
      </c>
      <c r="C56" s="12" t="s">
        <v>59</v>
      </c>
      <c r="D56" s="12" t="s">
        <v>16</v>
      </c>
      <c r="E56" s="12" t="s">
        <v>17</v>
      </c>
      <c r="F56" s="12" t="s">
        <v>116</v>
      </c>
      <c r="G56" s="12" t="s">
        <v>117</v>
      </c>
    </row>
    <row r="57" customFormat="false" ht="23.85" hidden="false" customHeight="false" outlineLevel="0" collapsed="false">
      <c r="A57" s="16" t="s">
        <v>58</v>
      </c>
      <c r="B57" s="16" t="s">
        <v>56</v>
      </c>
      <c r="C57" s="16" t="s">
        <v>54</v>
      </c>
      <c r="D57" s="16" t="s">
        <v>16</v>
      </c>
      <c r="E57" s="16" t="s">
        <v>19</v>
      </c>
      <c r="F57" s="16" t="s">
        <v>116</v>
      </c>
      <c r="G57" s="16" t="s">
        <v>117</v>
      </c>
    </row>
    <row r="58" customFormat="false" ht="23.85" hidden="false" customHeight="false" outlineLevel="0" collapsed="false">
      <c r="A58" s="12" t="s">
        <v>53</v>
      </c>
      <c r="B58" s="12" t="s">
        <v>51</v>
      </c>
      <c r="C58" s="12" t="s">
        <v>49</v>
      </c>
      <c r="D58" s="12" t="s">
        <v>16</v>
      </c>
      <c r="E58" s="12" t="s">
        <v>19</v>
      </c>
      <c r="F58" s="12" t="s">
        <v>116</v>
      </c>
      <c r="G58" s="1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22" t="s">
        <v>191</v>
      </c>
    </row>
    <row r="4" customFormat="false" ht="26.85" hidden="false" customHeight="false" outlineLevel="0" collapsed="false">
      <c r="A4" s="10" t="s">
        <v>38</v>
      </c>
      <c r="B4" s="10" t="s">
        <v>39</v>
      </c>
      <c r="C4" s="10" t="s">
        <v>110</v>
      </c>
      <c r="D4" s="10" t="s">
        <v>11</v>
      </c>
      <c r="E4" s="10" t="s">
        <v>14</v>
      </c>
      <c r="F4" s="10" t="s">
        <v>192</v>
      </c>
      <c r="G4" s="10" t="s">
        <v>193</v>
      </c>
      <c r="H4" s="10" t="s">
        <v>194</v>
      </c>
    </row>
    <row r="5" customFormat="false" ht="27.75" hidden="false" customHeight="true" outlineLevel="0" collapsed="false">
      <c r="A5" s="24" t="s">
        <v>195</v>
      </c>
      <c r="B5" s="24" t="s">
        <v>196</v>
      </c>
      <c r="C5" s="24" t="s">
        <v>197</v>
      </c>
      <c r="D5" s="24" t="s">
        <v>20</v>
      </c>
      <c r="E5" s="24" t="s">
        <v>25</v>
      </c>
      <c r="F5" s="24" t="s">
        <v>198</v>
      </c>
      <c r="G5" s="24" t="s">
        <v>198</v>
      </c>
      <c r="H5" s="24" t="s">
        <v>199</v>
      </c>
    </row>
    <row r="6" customFormat="false" ht="27.75" hidden="false" customHeight="true" outlineLevel="0" collapsed="false">
      <c r="A6" s="24" t="s">
        <v>200</v>
      </c>
      <c r="B6" s="24" t="s">
        <v>201</v>
      </c>
      <c r="C6" s="24" t="s">
        <v>202</v>
      </c>
      <c r="D6" s="24" t="s">
        <v>18</v>
      </c>
      <c r="E6" s="24" t="s">
        <v>29</v>
      </c>
      <c r="F6" s="24" t="s">
        <v>198</v>
      </c>
      <c r="G6" s="24" t="s">
        <v>198</v>
      </c>
      <c r="H6" s="24" t="s">
        <v>199</v>
      </c>
    </row>
    <row r="7" customFormat="false" ht="27.75" hidden="false" customHeight="true" outlineLevel="0" collapsed="false">
      <c r="A7" s="24" t="s">
        <v>203</v>
      </c>
      <c r="B7" s="24" t="s">
        <v>204</v>
      </c>
      <c r="C7" s="24" t="s">
        <v>205</v>
      </c>
      <c r="D7" s="24" t="s">
        <v>18</v>
      </c>
      <c r="E7" s="24" t="s">
        <v>19</v>
      </c>
      <c r="F7" s="24" t="s">
        <v>198</v>
      </c>
      <c r="G7" s="24" t="s">
        <v>198</v>
      </c>
      <c r="H7" s="24" t="s">
        <v>199</v>
      </c>
    </row>
    <row r="8" customFormat="false" ht="27.75" hidden="false" customHeight="true" outlineLevel="0" collapsed="false">
      <c r="A8" s="25" t="s">
        <v>206</v>
      </c>
      <c r="B8" s="25" t="s">
        <v>207</v>
      </c>
      <c r="C8" s="25" t="s">
        <v>208</v>
      </c>
      <c r="D8" s="25" t="s">
        <v>22</v>
      </c>
      <c r="E8" s="25" t="s">
        <v>17</v>
      </c>
      <c r="F8" s="25" t="s">
        <v>198</v>
      </c>
      <c r="G8" s="25" t="s">
        <v>116</v>
      </c>
      <c r="H8" s="25" t="s">
        <v>209</v>
      </c>
    </row>
    <row r="9" customFormat="false" ht="27.75" hidden="false" customHeight="true" outlineLevel="0" collapsed="false">
      <c r="A9" s="24" t="s">
        <v>105</v>
      </c>
      <c r="B9" s="24" t="s">
        <v>106</v>
      </c>
      <c r="C9" s="24" t="s">
        <v>104</v>
      </c>
      <c r="D9" s="24" t="s">
        <v>16</v>
      </c>
      <c r="E9" s="24" t="s">
        <v>31</v>
      </c>
      <c r="F9" s="24" t="s">
        <v>198</v>
      </c>
      <c r="G9" s="24" t="s">
        <v>198</v>
      </c>
      <c r="H9" s="24" t="s">
        <v>199</v>
      </c>
    </row>
    <row r="10" customFormat="false" ht="27.75" hidden="false" customHeight="true" outlineLevel="0" collapsed="false">
      <c r="A10" s="24" t="s">
        <v>90</v>
      </c>
      <c r="B10" s="24" t="s">
        <v>91</v>
      </c>
      <c r="C10" s="24" t="s">
        <v>89</v>
      </c>
      <c r="D10" s="24" t="s">
        <v>16</v>
      </c>
      <c r="E10" s="24" t="s">
        <v>17</v>
      </c>
      <c r="F10" s="24" t="s">
        <v>198</v>
      </c>
      <c r="G10" s="24" t="s">
        <v>198</v>
      </c>
      <c r="H10" s="24" t="s">
        <v>199</v>
      </c>
    </row>
    <row r="11" customFormat="false" ht="27.75" hidden="false" customHeight="true" outlineLevel="0" collapsed="false">
      <c r="A11" s="24" t="s">
        <v>107</v>
      </c>
      <c r="B11" s="24" t="s">
        <v>106</v>
      </c>
      <c r="C11" s="24" t="s">
        <v>104</v>
      </c>
      <c r="D11" s="24" t="s">
        <v>16</v>
      </c>
      <c r="E11" s="24" t="s">
        <v>31</v>
      </c>
      <c r="F11" s="24" t="s">
        <v>198</v>
      </c>
      <c r="G11" s="24" t="s">
        <v>198</v>
      </c>
      <c r="H11" s="24" t="s">
        <v>199</v>
      </c>
    </row>
    <row r="12" customFormat="false" ht="27.75" hidden="false" customHeight="true" outlineLevel="0" collapsed="false">
      <c r="A12" s="24" t="s">
        <v>92</v>
      </c>
      <c r="B12" s="24" t="s">
        <v>91</v>
      </c>
      <c r="C12" s="24" t="s">
        <v>89</v>
      </c>
      <c r="D12" s="24" t="s">
        <v>16</v>
      </c>
      <c r="E12" s="24" t="s">
        <v>17</v>
      </c>
      <c r="F12" s="24" t="s">
        <v>198</v>
      </c>
      <c r="G12" s="24" t="s">
        <v>198</v>
      </c>
      <c r="H12" s="24" t="s">
        <v>199</v>
      </c>
    </row>
    <row r="13" customFormat="false" ht="27.75" hidden="false" customHeight="true" outlineLevel="0" collapsed="false">
      <c r="A13" s="24" t="s">
        <v>108</v>
      </c>
      <c r="B13" s="24" t="s">
        <v>106</v>
      </c>
      <c r="C13" s="24" t="s">
        <v>104</v>
      </c>
      <c r="D13" s="24" t="s">
        <v>16</v>
      </c>
      <c r="E13" s="24" t="s">
        <v>31</v>
      </c>
      <c r="F13" s="24" t="s">
        <v>198</v>
      </c>
      <c r="G13" s="24" t="s">
        <v>198</v>
      </c>
      <c r="H13" s="24" t="s">
        <v>199</v>
      </c>
    </row>
    <row r="14" customFormat="false" ht="27.75" hidden="false" customHeight="true" outlineLevel="0" collapsed="false">
      <c r="A14" s="24" t="s">
        <v>93</v>
      </c>
      <c r="B14" s="24" t="s">
        <v>91</v>
      </c>
      <c r="C14" s="24" t="s">
        <v>89</v>
      </c>
      <c r="D14" s="24" t="s">
        <v>16</v>
      </c>
      <c r="E14" s="24" t="s">
        <v>17</v>
      </c>
      <c r="F14" s="24" t="s">
        <v>198</v>
      </c>
      <c r="G14" s="24" t="s">
        <v>198</v>
      </c>
      <c r="H14" s="24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2026-06-06T07:41:39Z</dcterms:created>
  <dc:creator>openpyxl</dc:creator>
  <dc:description/>
  <dc:language>en-US</dc:language>
  <cp:lastModifiedBy/>
  <dcterms:modified xsi:type="dcterms:W3CDTF">2026-06-06T07:41:39Z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