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uplicates" sheetId="2" state="visible" r:id="rId2"/>
    <sheet xmlns:r="http://schemas.openxmlformats.org/officeDocument/2006/relationships" name="No Customer" sheetId="3" state="visible" r:id="rId3"/>
    <sheet xmlns:r="http://schemas.openxmlformats.org/officeDocument/2006/relationships" name="Missing CRM Lin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444444"/>
      <sz val="9"/>
    </font>
    <font>
      <name val="Arial"/>
      <charset val="1"/>
      <family val="0"/>
      <b val="1"/>
      <color rgb="FF000000"/>
      <sz val="18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FFFFFF"/>
        <bgColor rgb="FFF5F5F5"/>
      </patternFill>
    </fill>
    <fill>
      <patternFill patternType="solid">
        <fgColor rgb="FFFFE0E0"/>
        <bgColor rgb="FFFFF2CC"/>
      </patternFill>
    </fill>
    <fill>
      <patternFill patternType="solid">
        <fgColor rgb="FFFFF2CC"/>
        <bgColor rgb="FFF5F5F5"/>
      </patternFill>
    </fill>
    <fill>
      <patternFill patternType="solid">
        <fgColor rgb="FF1F3864"/>
        <bgColor rgb="FF333399"/>
      </patternFill>
    </fill>
    <fill>
      <patternFill patternType="solid">
        <fgColor rgb="FFF5F5F5"/>
        <bgColor rgb="FFFFFFFF"/>
      </patternFill>
    </fill>
    <fill>
      <patternFill patternType="solid">
        <fgColor rgb="FFD5E8F0"/>
        <bgColor rgb="FFE2EFDA"/>
      </patternFill>
    </fill>
    <fill>
      <patternFill patternType="solid">
        <fgColor rgb="FFE2EFDA"/>
        <bgColor rgb="FFD5E8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general" vertical="center" wrapText="1"/>
    </xf>
    <xf numFmtId="164" fontId="10" fillId="6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general" vertical="center" wrapText="1"/>
    </xf>
    <xf numFmtId="164" fontId="10" fillId="2" borderId="1" applyAlignment="1" pivotButton="0" quotePrefix="0" xfId="0">
      <alignment horizontal="general" vertical="center" wrapText="1"/>
    </xf>
    <xf numFmtId="0" fontId="10" fillId="7" borderId="1" applyAlignment="1" pivotButton="0" quotePrefix="0" xfId="0">
      <alignment horizontal="general" vertical="center" wrapText="1"/>
    </xf>
    <xf numFmtId="164" fontId="10" fillId="7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2" fillId="8" borderId="1" applyAlignment="1" pivotButton="0" quotePrefix="0" xfId="0">
      <alignment horizontal="general" vertical="center" wrapText="1"/>
    </xf>
    <xf numFmtId="0" fontId="12" fillId="8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general" vertical="center" wrapText="1"/>
    </xf>
    <xf numFmtId="0" fontId="10" fillId="3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general" vertical="center" wrapText="1"/>
    </xf>
    <xf numFmtId="164" fontId="10" fillId="6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general" vertical="center" wrapText="1"/>
    </xf>
    <xf numFmtId="164" fontId="10" fillId="2" borderId="1" applyAlignment="1" pivotButton="0" quotePrefix="0" xfId="0">
      <alignment horizontal="general" vertical="center" wrapText="1"/>
    </xf>
    <xf numFmtId="0" fontId="10" fillId="7" borderId="1" applyAlignment="1" pivotButton="0" quotePrefix="0" xfId="0">
      <alignment horizontal="general" vertical="center" wrapText="1"/>
    </xf>
    <xf numFmtId="164" fontId="10" fillId="7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2" fillId="8" borderId="1" applyAlignment="1" pivotButton="0" quotePrefix="0" xfId="0">
      <alignment horizontal="general" vertical="center" wrapText="1"/>
    </xf>
    <xf numFmtId="0" fontId="12" fillId="8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general" vertical="center" wrapText="1"/>
    </xf>
    <xf numFmtId="0" fontId="10" fillId="3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2EFDA"/>
      <rgbColor rgb="FFFFFF99"/>
      <rgbColor rgb="FF99CCFF"/>
      <rgbColor rgb="FFFF99CC"/>
      <rgbColor rgb="FFCC99FF"/>
      <rgbColor rgb="FFFFE0E0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27" min="1" max="1"/>
    <col width="14" customWidth="1" style="27" min="2" max="3"/>
    <col width="4" customWidth="1" style="27" min="4" max="4"/>
    <col width="40" customWidth="1" style="27" min="5" max="5"/>
    <col width="16" customWidth="1" style="27" min="6" max="6"/>
    <col width="14" customWidth="1" style="27" min="7" max="7"/>
  </cols>
  <sheetData>
    <row r="1" ht="18" customHeight="1" s="28">
      <c r="A1" s="29" t="inlineStr">
        <is>
          <t>Hummer Production Push – Phase 1 Ticket Analysis</t>
        </is>
      </c>
    </row>
    <row r="2" ht="18" customHeight="1" s="28">
      <c r="A2" s="30" t="inlineStr">
        <is>
          <t>Source: HubSpot CRM Export  |  Date: 2026-06-06  |  Total Tickets: 76</t>
        </is>
      </c>
    </row>
    <row r="3" ht="18" customHeight="1" s="28"/>
    <row r="4" ht="18" customHeight="1" s="28">
      <c r="A4" s="31" t="inlineStr">
        <is>
          <t>KEY METRICS</t>
        </is>
      </c>
    </row>
    <row r="5" ht="18" customHeight="1" s="28">
      <c r="A5" s="32" t="inlineStr">
        <is>
          <t>Total Tickets</t>
        </is>
      </c>
      <c r="B5" s="32" t="inlineStr">
        <is>
          <t>Unique Jobs</t>
        </is>
      </c>
      <c r="C5" s="33" t="inlineStr">
        <is>
          <t>Duplicate Tickets</t>
        </is>
      </c>
      <c r="D5" s="34" t="inlineStr">
        <is>
          <t>Marked No Customer</t>
        </is>
      </c>
      <c r="E5" s="34" t="inlineStr">
        <is>
          <t>Has Customer, Missing CRM</t>
        </is>
      </c>
      <c r="F5" s="33" t="inlineStr">
        <is>
          <t>Jobs w/ Duplicates</t>
        </is>
      </c>
    </row>
    <row r="6" ht="18" customHeight="1" s="28">
      <c r="A6" s="35" t="n">
        <v>76</v>
      </c>
      <c r="B6" s="35" t="n">
        <v>49</v>
      </c>
      <c r="C6" s="36" t="n">
        <v>27</v>
      </c>
      <c r="D6" s="37" t="n">
        <v>55</v>
      </c>
      <c r="E6" s="37" t="n">
        <v>9</v>
      </c>
      <c r="F6" s="36" t="n">
        <v>13</v>
      </c>
    </row>
    <row r="7" ht="18" customHeight="1" s="28"/>
    <row r="8" ht="18" customHeight="1" s="28">
      <c r="A8" s="31" t="inlineStr">
        <is>
          <t>TICKETS BY OWNER</t>
        </is>
      </c>
      <c r="E8" s="31" t="inlineStr">
        <is>
          <t>TICKETS BY STAGE</t>
        </is>
      </c>
    </row>
    <row r="9" ht="18" customHeight="1" s="28">
      <c r="A9" s="38" t="inlineStr">
        <is>
          <t>Owner</t>
        </is>
      </c>
      <c r="B9" s="38" t="inlineStr">
        <is>
          <t>Ticket Count</t>
        </is>
      </c>
      <c r="C9" s="38" t="inlineStr">
        <is>
          <t>% of Total</t>
        </is>
      </c>
      <c r="E9" s="38" t="inlineStr">
        <is>
          <t>Stage</t>
        </is>
      </c>
      <c r="F9" s="38" t="inlineStr">
        <is>
          <t>Count</t>
        </is>
      </c>
      <c r="G9" s="38" t="inlineStr">
        <is>
          <t>% of Total</t>
        </is>
      </c>
    </row>
    <row r="10" ht="18" customHeight="1" s="28">
      <c r="A10" s="39" t="inlineStr">
        <is>
          <t>Fraser Finlayson</t>
        </is>
      </c>
      <c r="B10" s="39" t="n">
        <v>40</v>
      </c>
      <c r="C10" s="40">
        <f>B10/76</f>
        <v/>
      </c>
      <c r="E10" s="39" t="inlineStr">
        <is>
          <t>Interior Linings</t>
        </is>
      </c>
      <c r="F10" s="39" t="n">
        <v>13</v>
      </c>
      <c r="G10" s="40">
        <f>F10/76</f>
        <v/>
      </c>
    </row>
    <row r="11" ht="18" customHeight="1" s="28">
      <c r="A11" s="41" t="inlineStr">
        <is>
          <t>Andrew Scott</t>
        </is>
      </c>
      <c r="B11" s="41" t="n">
        <v>16</v>
      </c>
      <c r="C11" s="42">
        <f>B11/76</f>
        <v/>
      </c>
      <c r="E11" s="41" t="inlineStr">
        <is>
          <t>Painting &amp; Finishing</t>
        </is>
      </c>
      <c r="F11" s="41" t="n">
        <v>11</v>
      </c>
      <c r="G11" s="42">
        <f>F11/76</f>
        <v/>
      </c>
    </row>
    <row r="12" ht="18" customHeight="1" s="28">
      <c r="A12" s="39" t="inlineStr">
        <is>
          <t>Killian O'Neill</t>
        </is>
      </c>
      <c r="B12" s="39" t="n">
        <v>13</v>
      </c>
      <c r="C12" s="40">
        <f>B12/76</f>
        <v/>
      </c>
      <c r="E12" s="39" t="inlineStr">
        <is>
          <t>Schedule Pre Construction Meeting</t>
        </is>
      </c>
      <c r="F12" s="39" t="n">
        <v>9</v>
      </c>
      <c r="G12" s="40">
        <f>F12/76</f>
        <v/>
      </c>
    </row>
    <row r="13" ht="18" customHeight="1" s="28">
      <c r="A13" s="41" t="inlineStr">
        <is>
          <t>Corey Flynn</t>
        </is>
      </c>
      <c r="B13" s="41" t="n">
        <v>7</v>
      </c>
      <c r="C13" s="42">
        <f>B13/76</f>
        <v/>
      </c>
      <c r="E13" s="41" t="inlineStr">
        <is>
          <t>Fixtures/Internal Fit Out</t>
        </is>
      </c>
      <c r="F13" s="41" t="n">
        <v>8</v>
      </c>
      <c r="G13" s="42">
        <f>F13/76</f>
        <v/>
      </c>
    </row>
    <row r="14" ht="18" customHeight="1" s="28">
      <c r="A14" s="43" t="inlineStr">
        <is>
          <t>Total</t>
        </is>
      </c>
      <c r="B14" s="43">
        <f>SUM(B10:B13)</f>
        <v/>
      </c>
      <c r="C14" s="44">
        <f>SUM(C10:C13)</f>
        <v/>
      </c>
      <c r="E14" s="39" t="inlineStr">
        <is>
          <t>Cladding On</t>
        </is>
      </c>
      <c r="F14" s="39" t="n">
        <v>6</v>
      </c>
      <c r="G14" s="40">
        <f>F14/76</f>
        <v/>
      </c>
    </row>
    <row r="15" ht="18" customHeight="1" s="28">
      <c r="E15" s="41" t="inlineStr">
        <is>
          <t>Roof On</t>
        </is>
      </c>
      <c r="F15" s="41" t="n">
        <v>5</v>
      </c>
      <c r="G15" s="42">
        <f>F15/76</f>
        <v/>
      </c>
    </row>
    <row r="16" ht="18" customHeight="1" s="28">
      <c r="E16" s="39" t="inlineStr">
        <is>
          <t>Contract Confirmed Signed</t>
        </is>
      </c>
      <c r="F16" s="39" t="n">
        <v>4</v>
      </c>
      <c r="G16" s="40">
        <f>F16/76</f>
        <v/>
      </c>
    </row>
    <row r="17" ht="18" customHeight="1" s="28">
      <c r="E17" s="41" t="inlineStr">
        <is>
          <t>Customer Walkthrough &amp; Final Inspection</t>
        </is>
      </c>
      <c r="F17" s="41" t="n">
        <v>4</v>
      </c>
      <c r="G17" s="42">
        <f>F17/76</f>
        <v/>
      </c>
    </row>
    <row r="18" ht="18" customHeight="1" s="28">
      <c r="E18" s="39" t="inlineStr">
        <is>
          <t>Foundations / Slab Poured</t>
        </is>
      </c>
      <c r="F18" s="39" t="n">
        <v>4</v>
      </c>
      <c r="G18" s="40">
        <f>F18/76</f>
        <v/>
      </c>
    </row>
    <row r="19" ht="18" customHeight="1" s="28">
      <c r="E19" s="41" t="inlineStr">
        <is>
          <t>Schedule Handover</t>
        </is>
      </c>
      <c r="F19" s="41" t="n">
        <v>4</v>
      </c>
      <c r="G19" s="42">
        <f>F19/76</f>
        <v/>
      </c>
    </row>
    <row r="20" ht="18" customHeight="1" s="28">
      <c r="E20" s="39" t="inlineStr">
        <is>
          <t>WD Submitted to Council</t>
        </is>
      </c>
      <c r="F20" s="39" t="n">
        <v>3</v>
      </c>
      <c r="G20" s="40">
        <f>F20/76</f>
        <v/>
      </c>
    </row>
    <row r="21" ht="18" customHeight="1" s="28">
      <c r="E21" s="41" t="inlineStr">
        <is>
          <t>Groundwork Commenced</t>
        </is>
      </c>
      <c r="F21" s="41" t="n">
        <v>2</v>
      </c>
      <c r="G21" s="42">
        <f>F21/76</f>
        <v/>
      </c>
    </row>
    <row r="22" ht="18" customHeight="1" s="28">
      <c r="E22" s="39" t="inlineStr">
        <is>
          <t>Frames Up</t>
        </is>
      </c>
      <c r="F22" s="39" t="n">
        <v>2</v>
      </c>
      <c r="G22" s="40">
        <f>F22/76</f>
        <v/>
      </c>
    </row>
    <row r="23" ht="18" customHeight="1" s="28">
      <c r="E23" s="41" t="inlineStr">
        <is>
          <t>Windows In</t>
        </is>
      </c>
      <c r="F23" s="41" t="n">
        <v>1</v>
      </c>
      <c r="G23" s="42">
        <f>F23/76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27" min="1" max="1"/>
    <col width="20" customWidth="1" style="27" min="2" max="2"/>
    <col width="58" customWidth="1" style="27" min="3" max="3"/>
    <col width="36" customWidth="1" style="27" min="4" max="4"/>
    <col width="20" customWidth="1" style="27" min="5" max="5"/>
    <col width="16" customWidth="1" style="27" min="6" max="6"/>
  </cols>
  <sheetData>
    <row r="1" ht="18" customHeight="1" s="28">
      <c r="A1" s="29" t="inlineStr">
        <is>
          <t>Duplicate Tickets — Hummer Phase 1</t>
        </is>
      </c>
    </row>
    <row r="2" ht="18" customHeight="1" s="28">
      <c r="A2" s="45" t="inlineStr">
        <is>
          <t>13 job numbers have duplicate tickets. 40 tickets total → 27 extras to delete. All duplicates owned by Fraser Finlayson.</t>
        </is>
      </c>
    </row>
    <row r="3" ht="18" customHeight="1" s="28"/>
    <row r="4" ht="18" customHeight="1" s="28">
      <c r="A4" s="38" t="inlineStr">
        <is>
          <t>Job Number</t>
        </is>
      </c>
      <c r="B4" s="38" t="inlineStr">
        <is>
          <t>Ticket ID</t>
        </is>
      </c>
      <c r="C4" s="38" t="inlineStr">
        <is>
          <t>Ticket Name</t>
        </is>
      </c>
      <c r="D4" s="38" t="inlineStr">
        <is>
          <t>Stage</t>
        </is>
      </c>
      <c r="E4" s="38" t="inlineStr">
        <is>
          <t>Owner</t>
        </is>
      </c>
      <c r="F4" s="38" t="inlineStr">
        <is>
          <t>Action</t>
        </is>
      </c>
    </row>
    <row r="5" ht="18" customHeight="1" s="28">
      <c r="A5" s="46" t="inlineStr">
        <is>
          <t>CT7509a</t>
        </is>
      </c>
      <c r="B5" s="46" t="inlineStr">
        <is>
          <t>258562793931</t>
        </is>
      </c>
      <c r="C5" s="47" t="inlineStr">
        <is>
          <t>CT7509a (Townhouse 4, 51 Monsaraz Boulevard, Halswell Commons)</t>
        </is>
      </c>
      <c r="D5" s="46" t="inlineStr">
        <is>
          <t>Schedule Handover</t>
        </is>
      </c>
      <c r="E5" s="46" t="inlineStr">
        <is>
          <t>Fraser Finlayson</t>
        </is>
      </c>
      <c r="F5" s="46" t="inlineStr">
        <is>
          <t>KEEP (oldest)</t>
        </is>
      </c>
    </row>
    <row r="6" ht="18" customHeight="1" s="28">
      <c r="A6" s="48" t="inlineStr">
        <is>
          <t>CT7509a</t>
        </is>
      </c>
      <c r="B6" s="48" t="inlineStr">
        <is>
          <t>258635160040</t>
        </is>
      </c>
      <c r="C6" s="49" t="inlineStr">
        <is>
          <t>CT7509a (Townhouse 4, 51 Monsaraz Boulevard, Halswell Commons)</t>
        </is>
      </c>
      <c r="D6" s="48" t="inlineStr">
        <is>
          <t>Schedule Handover</t>
        </is>
      </c>
      <c r="E6" s="48" t="inlineStr">
        <is>
          <t>Fraser Finlayson</t>
        </is>
      </c>
      <c r="F6" s="48" t="inlineStr">
        <is>
          <t>DELETE</t>
        </is>
      </c>
    </row>
    <row r="7" ht="18" customHeight="1" s="28">
      <c r="A7" s="48" t="inlineStr">
        <is>
          <t>CT7509a</t>
        </is>
      </c>
      <c r="B7" s="48" t="inlineStr">
        <is>
          <t>258642362831</t>
        </is>
      </c>
      <c r="C7" s="49" t="inlineStr">
        <is>
          <t>CT7509a (Townhouse 4, 51 Monsaraz Boulevard, Halswell Commons)</t>
        </is>
      </c>
      <c r="D7" s="48" t="inlineStr">
        <is>
          <t>Schedule Handover</t>
        </is>
      </c>
      <c r="E7" s="48" t="inlineStr">
        <is>
          <t>Fraser Finlayson</t>
        </is>
      </c>
      <c r="F7" s="48" t="inlineStr">
        <is>
          <t>DELETE</t>
        </is>
      </c>
    </row>
    <row r="8" ht="18" customHeight="1" s="28">
      <c r="A8" s="48" t="inlineStr">
        <is>
          <t>CT7509a</t>
        </is>
      </c>
      <c r="B8" s="48" t="inlineStr">
        <is>
          <t>258575416814</t>
        </is>
      </c>
      <c r="C8" s="49" t="inlineStr">
        <is>
          <t>CT7509a (Townhouse 4, 51 Monsaraz Boulevard, Halswell Commons)</t>
        </is>
      </c>
      <c r="D8" s="48" t="inlineStr">
        <is>
          <t>Schedule Handover</t>
        </is>
      </c>
      <c r="E8" s="48" t="inlineStr">
        <is>
          <t>Fraser Finlayson</t>
        </is>
      </c>
      <c r="F8" s="48" t="inlineStr">
        <is>
          <t>DELETE</t>
        </is>
      </c>
    </row>
    <row r="9" ht="18" customHeight="1" s="28">
      <c r="A9" s="46" t="inlineStr">
        <is>
          <t>CT8196</t>
        </is>
      </c>
      <c r="B9" s="46" t="inlineStr">
        <is>
          <t>258642367949</t>
        </is>
      </c>
      <c r="C9" s="47" t="inlineStr">
        <is>
          <t>CT8196 (Lot 8 Te Whaiawa - 76 Te Whaiawa Crescent, West Melton)</t>
        </is>
      </c>
      <c r="D9" s="46" t="inlineStr">
        <is>
          <t>Painting &amp; Finishing</t>
        </is>
      </c>
      <c r="E9" s="46" t="inlineStr">
        <is>
          <t>Fraser Finlayson</t>
        </is>
      </c>
      <c r="F9" s="46" t="inlineStr">
        <is>
          <t>KEEP (oldest)</t>
        </is>
      </c>
    </row>
    <row r="10" ht="18" customHeight="1" s="28">
      <c r="A10" s="48" t="inlineStr">
        <is>
          <t>CT8196</t>
        </is>
      </c>
      <c r="B10" s="48" t="inlineStr">
        <is>
          <t>258516061676</t>
        </is>
      </c>
      <c r="C10" s="49" t="inlineStr">
        <is>
          <t>CT8196 (Lot 8 Te Whaiawa - 76 Te Whaiawa Crescent, West Melton)</t>
        </is>
      </c>
      <c r="D10" s="48" t="inlineStr">
        <is>
          <t>Painting &amp; Finishing</t>
        </is>
      </c>
      <c r="E10" s="48" t="inlineStr">
        <is>
          <t>Fraser Finlayson</t>
        </is>
      </c>
      <c r="F10" s="48" t="inlineStr">
        <is>
          <t>DELETE</t>
        </is>
      </c>
    </row>
    <row r="11" ht="18" customHeight="1" s="28">
      <c r="A11" s="48" t="inlineStr">
        <is>
          <t>CT8196</t>
        </is>
      </c>
      <c r="B11" s="48" t="inlineStr">
        <is>
          <t>258642361821</t>
        </is>
      </c>
      <c r="C11" s="49" t="inlineStr">
        <is>
          <t>CT8196 (Lot 8 Te Whaiawa - 76 Te Whaiawa Crescent, West Melton)</t>
        </is>
      </c>
      <c r="D11" s="48" t="inlineStr">
        <is>
          <t>Painting &amp; Finishing</t>
        </is>
      </c>
      <c r="E11" s="48" t="inlineStr">
        <is>
          <t>Fraser Finlayson</t>
        </is>
      </c>
      <c r="F11" s="48" t="inlineStr">
        <is>
          <t>DELETE</t>
        </is>
      </c>
    </row>
    <row r="12" ht="18" customHeight="1" s="28">
      <c r="A12" s="46" t="inlineStr">
        <is>
          <t>CT8197</t>
        </is>
      </c>
      <c r="B12" s="46" t="inlineStr">
        <is>
          <t>258553799140</t>
        </is>
      </c>
      <c r="C12" s="47" t="inlineStr">
        <is>
          <t>CT8197 (Lot 9 Te Whaiawa - 74 Te Whaiawa Crescent, West Melton)</t>
        </is>
      </c>
      <c r="D12" s="46" t="inlineStr">
        <is>
          <t>Painting &amp; Finishing</t>
        </is>
      </c>
      <c r="E12" s="46" t="inlineStr">
        <is>
          <t>Fraser Finlayson</t>
        </is>
      </c>
      <c r="F12" s="46" t="inlineStr">
        <is>
          <t>KEEP (oldest)</t>
        </is>
      </c>
    </row>
    <row r="13" ht="18" customHeight="1" s="28">
      <c r="A13" s="48" t="inlineStr">
        <is>
          <t>CT8197</t>
        </is>
      </c>
      <c r="B13" s="48" t="inlineStr">
        <is>
          <t>258644182479</t>
        </is>
      </c>
      <c r="C13" s="49" t="inlineStr">
        <is>
          <t>CT8197 (Lot 9 Te Whaiawa - 74 Te Whaiawa Crescent, West Melton)</t>
        </is>
      </c>
      <c r="D13" s="48" t="inlineStr">
        <is>
          <t>Painting &amp; Finishing</t>
        </is>
      </c>
      <c r="E13" s="48" t="inlineStr">
        <is>
          <t>Fraser Finlayson</t>
        </is>
      </c>
      <c r="F13" s="48" t="inlineStr">
        <is>
          <t>DELETE</t>
        </is>
      </c>
    </row>
    <row r="14" ht="18" customHeight="1" s="28">
      <c r="A14" s="48" t="inlineStr">
        <is>
          <t>CT8197</t>
        </is>
      </c>
      <c r="B14" s="48" t="inlineStr">
        <is>
          <t>258645983696</t>
        </is>
      </c>
      <c r="C14" s="49" t="inlineStr">
        <is>
          <t>CT8197 (Lot 9 Te Whaiawa - 74 Te Whaiawa Crescent, West Melton)</t>
        </is>
      </c>
      <c r="D14" s="48" t="inlineStr">
        <is>
          <t>Painting &amp; Finishing</t>
        </is>
      </c>
      <c r="E14" s="48" t="inlineStr">
        <is>
          <t>Fraser Finlayson</t>
        </is>
      </c>
      <c r="F14" s="48" t="inlineStr">
        <is>
          <t>DELETE</t>
        </is>
      </c>
    </row>
    <row r="15" ht="18" customHeight="1" s="28">
      <c r="A15" s="46" t="inlineStr">
        <is>
          <t>CT8200</t>
        </is>
      </c>
      <c r="B15" s="46" t="inlineStr">
        <is>
          <t>258544874995</t>
        </is>
      </c>
      <c r="C15" s="47" t="inlineStr">
        <is>
          <t>CT8200 (Lot 14 Te Whaiawa - 64 Te Whaiawa Crescent, West Melton)</t>
        </is>
      </c>
      <c r="D15" s="46" t="inlineStr">
        <is>
          <t>Interior Linings</t>
        </is>
      </c>
      <c r="E15" s="46" t="inlineStr">
        <is>
          <t>Fraser Finlayson</t>
        </is>
      </c>
      <c r="F15" s="46" t="inlineStr">
        <is>
          <t>KEEP (oldest)</t>
        </is>
      </c>
    </row>
    <row r="16" ht="18" customHeight="1" s="28">
      <c r="A16" s="48" t="inlineStr">
        <is>
          <t>CT8200</t>
        </is>
      </c>
      <c r="B16" s="48" t="inlineStr">
        <is>
          <t>258642366950</t>
        </is>
      </c>
      <c r="C16" s="49" t="inlineStr">
        <is>
          <t>CT8200 (Lot 14 Te Whaiawa - 64 Te Whaiawa Crescent, West Melton)</t>
        </is>
      </c>
      <c r="D16" s="48" t="inlineStr">
        <is>
          <t>Interior Linings</t>
        </is>
      </c>
      <c r="E16" s="48" t="inlineStr">
        <is>
          <t>Fraser Finlayson</t>
        </is>
      </c>
      <c r="F16" s="48" t="inlineStr">
        <is>
          <t>DELETE</t>
        </is>
      </c>
    </row>
    <row r="17" ht="18" customHeight="1" s="28">
      <c r="A17" s="48" t="inlineStr">
        <is>
          <t>CT8200</t>
        </is>
      </c>
      <c r="B17" s="48" t="inlineStr">
        <is>
          <t>258644177345</t>
        </is>
      </c>
      <c r="C17" s="49" t="inlineStr">
        <is>
          <t>CT8200 (Lot 14 Te Whaiawa - 64 Te Whaiawa Crescent, West Melton)</t>
        </is>
      </c>
      <c r="D17" s="48" t="inlineStr">
        <is>
          <t>Interior Linings</t>
        </is>
      </c>
      <c r="E17" s="48" t="inlineStr">
        <is>
          <t>Fraser Finlayson</t>
        </is>
      </c>
      <c r="F17" s="48" t="inlineStr">
        <is>
          <t>DELETE</t>
        </is>
      </c>
    </row>
    <row r="18" ht="18" customHeight="1" s="28">
      <c r="A18" s="46" t="inlineStr">
        <is>
          <t>CT8203</t>
        </is>
      </c>
      <c r="B18" s="46" t="inlineStr">
        <is>
          <t>258580864502</t>
        </is>
      </c>
      <c r="C18" s="47" t="inlineStr">
        <is>
          <t>CT8203 (Lot 17 Te Whaiawa - 58 Te Whaiawa Crescent, West Melton, Selwyn)</t>
        </is>
      </c>
      <c r="D18" s="46" t="inlineStr">
        <is>
          <t>Interior Linings</t>
        </is>
      </c>
      <c r="E18" s="46" t="inlineStr">
        <is>
          <t>Fraser Finlayson</t>
        </is>
      </c>
      <c r="F18" s="46" t="inlineStr">
        <is>
          <t>KEEP (oldest)</t>
        </is>
      </c>
    </row>
    <row r="19" ht="18" customHeight="1" s="28">
      <c r="A19" s="48" t="inlineStr">
        <is>
          <t>CT8203</t>
        </is>
      </c>
      <c r="B19" s="48" t="inlineStr">
        <is>
          <t>258645991877</t>
        </is>
      </c>
      <c r="C19" s="49" t="inlineStr">
        <is>
          <t>CT8203 (Lot 17 Te Whaiawa - 58 Te Whaiawa Crescent, West Melton, Selwyn)</t>
        </is>
      </c>
      <c r="D19" s="48" t="inlineStr">
        <is>
          <t>Interior Linings</t>
        </is>
      </c>
      <c r="E19" s="48" t="inlineStr">
        <is>
          <t>Fraser Finlayson</t>
        </is>
      </c>
      <c r="F19" s="48" t="inlineStr">
        <is>
          <t>DELETE</t>
        </is>
      </c>
    </row>
    <row r="20" ht="18" customHeight="1" s="28">
      <c r="A20" s="48" t="inlineStr">
        <is>
          <t>CT8203</t>
        </is>
      </c>
      <c r="B20" s="48" t="inlineStr">
        <is>
          <t>258635154881</t>
        </is>
      </c>
      <c r="C20" s="49" t="inlineStr">
        <is>
          <t>CT8203 (Lot 17 Te Whaiawa - 58 Te Whaiawa Crescent, West Melton, Selwyn)</t>
        </is>
      </c>
      <c r="D20" s="48" t="inlineStr">
        <is>
          <t>Interior Linings</t>
        </is>
      </c>
      <c r="E20" s="48" t="inlineStr">
        <is>
          <t>Fraser Finlayson</t>
        </is>
      </c>
      <c r="F20" s="48" t="inlineStr">
        <is>
          <t>DELETE</t>
        </is>
      </c>
    </row>
    <row r="21" ht="18" customHeight="1" s="28">
      <c r="A21" s="46" t="inlineStr">
        <is>
          <t>CT8204</t>
        </is>
      </c>
      <c r="B21" s="46" t="inlineStr">
        <is>
          <t>258566393307</t>
        </is>
      </c>
      <c r="C21" s="47" t="inlineStr">
        <is>
          <t>CT8204 (Lot 18 Te Whaiawa - 56 Te Whaiawa Crescent, West Melton)</t>
        </is>
      </c>
      <c r="D21" s="46" t="inlineStr">
        <is>
          <t>Cladding On</t>
        </is>
      </c>
      <c r="E21" s="46" t="inlineStr">
        <is>
          <t>Fraser Finlayson</t>
        </is>
      </c>
      <c r="F21" s="46" t="inlineStr">
        <is>
          <t>KEEP (oldest)</t>
        </is>
      </c>
    </row>
    <row r="22" ht="18" customHeight="1" s="28">
      <c r="A22" s="48" t="inlineStr">
        <is>
          <t>CT8204</t>
        </is>
      </c>
      <c r="B22" s="48" t="inlineStr">
        <is>
          <t>258635160042</t>
        </is>
      </c>
      <c r="C22" s="49" t="inlineStr">
        <is>
          <t>CT8204 (Lot 18 Te Whaiawa - 56 Te Whaiawa Crescent, West Melton)</t>
        </is>
      </c>
      <c r="D22" s="48" t="inlineStr">
        <is>
          <t>Cladding On</t>
        </is>
      </c>
      <c r="E22" s="48" t="inlineStr">
        <is>
          <t>Fraser Finlayson</t>
        </is>
      </c>
      <c r="F22" s="48" t="inlineStr">
        <is>
          <t>DELETE</t>
        </is>
      </c>
    </row>
    <row r="23" ht="18" customHeight="1" s="28">
      <c r="A23" s="48" t="inlineStr">
        <is>
          <t>CT8204</t>
        </is>
      </c>
      <c r="B23" s="48" t="inlineStr">
        <is>
          <t>258562787775</t>
        </is>
      </c>
      <c r="C23" s="49" t="inlineStr">
        <is>
          <t>CT8204 (Lot 18 Te Whaiawa - 56 Te Whaiawa Crescent, West Melton)</t>
        </is>
      </c>
      <c r="D23" s="48" t="inlineStr">
        <is>
          <t>Cladding On</t>
        </is>
      </c>
      <c r="E23" s="48" t="inlineStr">
        <is>
          <t>Fraser Finlayson</t>
        </is>
      </c>
      <c r="F23" s="48" t="inlineStr">
        <is>
          <t>DELETE</t>
        </is>
      </c>
    </row>
    <row r="24" ht="18" customHeight="1" s="28">
      <c r="A24" s="46" t="inlineStr">
        <is>
          <t>CT8426</t>
        </is>
      </c>
      <c r="B24" s="46" t="inlineStr">
        <is>
          <t>258647787966</t>
        </is>
      </c>
      <c r="C24" s="47" t="inlineStr">
        <is>
          <t>CT8426 (Lot 11 Halswell Country Estates - 45 Podocarp Drive, Christchurch)</t>
        </is>
      </c>
      <c r="D24" s="46" t="inlineStr">
        <is>
          <t>Fixtures/Internal Fit Out</t>
        </is>
      </c>
      <c r="E24" s="46" t="inlineStr">
        <is>
          <t>Fraser Finlayson</t>
        </is>
      </c>
      <c r="F24" s="46" t="inlineStr">
        <is>
          <t>KEEP (oldest)</t>
        </is>
      </c>
    </row>
    <row r="25" ht="18" customHeight="1" s="28">
      <c r="A25" s="48" t="inlineStr">
        <is>
          <t>CT8426</t>
        </is>
      </c>
      <c r="B25" s="48" t="inlineStr">
        <is>
          <t>258644182482</t>
        </is>
      </c>
      <c r="C25" s="49" t="inlineStr">
        <is>
          <t>CT8426 (Lot 11 Halswell Country Estates - 45 Podocarp Drive, Christchurch)</t>
        </is>
      </c>
      <c r="D25" s="48" t="inlineStr">
        <is>
          <t>Fixtures/Internal Fit Out</t>
        </is>
      </c>
      <c r="E25" s="48" t="inlineStr">
        <is>
          <t>Fraser Finlayson</t>
        </is>
      </c>
      <c r="F25" s="48" t="inlineStr">
        <is>
          <t>DELETE</t>
        </is>
      </c>
    </row>
    <row r="26" ht="18" customHeight="1" s="28">
      <c r="A26" s="48" t="inlineStr">
        <is>
          <t>CT8426</t>
        </is>
      </c>
      <c r="B26" s="48" t="inlineStr">
        <is>
          <t>258638765539</t>
        </is>
      </c>
      <c r="C26" s="49" t="inlineStr">
        <is>
          <t>CT8426 (Lot 11 Halswell Country Estates - 45 Podocarp Drive, Christchurch)</t>
        </is>
      </c>
      <c r="D26" s="48" t="inlineStr">
        <is>
          <t>Fixtures/Internal Fit Out</t>
        </is>
      </c>
      <c r="E26" s="48" t="inlineStr">
        <is>
          <t>Fraser Finlayson</t>
        </is>
      </c>
      <c r="F26" s="48" t="inlineStr">
        <is>
          <t>DELETE</t>
        </is>
      </c>
    </row>
    <row r="27" ht="18" customHeight="1" s="28">
      <c r="A27" s="46" t="inlineStr">
        <is>
          <t>CT8427</t>
        </is>
      </c>
      <c r="B27" s="46" t="inlineStr">
        <is>
          <t>258642367950</t>
        </is>
      </c>
      <c r="C27" s="47" t="inlineStr">
        <is>
          <t>CT8427 (Lot 12 Halswell Country Estates - 47 Podocarp Drive, Christchurch)</t>
        </is>
      </c>
      <c r="D27" s="46" t="inlineStr">
        <is>
          <t>Fixtures/Internal Fit Out</t>
        </is>
      </c>
      <c r="E27" s="46" t="inlineStr">
        <is>
          <t>Fraser Finlayson</t>
        </is>
      </c>
      <c r="F27" s="46" t="inlineStr">
        <is>
          <t>KEEP (oldest)</t>
        </is>
      </c>
    </row>
    <row r="28" ht="18" customHeight="1" s="28">
      <c r="A28" s="48" t="inlineStr">
        <is>
          <t>CT8427</t>
        </is>
      </c>
      <c r="B28" s="48" t="inlineStr">
        <is>
          <t>258644182483</t>
        </is>
      </c>
      <c r="C28" s="49" t="inlineStr">
        <is>
          <t>CT8427 (Lot 12 Halswell Country Estates - 47 Podocarp Drive, Christchurch)</t>
        </is>
      </c>
      <c r="D28" s="48" t="inlineStr">
        <is>
          <t>Fixtures/Internal Fit Out</t>
        </is>
      </c>
      <c r="E28" s="48" t="inlineStr">
        <is>
          <t>Fraser Finlayson</t>
        </is>
      </c>
      <c r="F28" s="48" t="inlineStr">
        <is>
          <t>DELETE</t>
        </is>
      </c>
    </row>
    <row r="29" ht="18" customHeight="1" s="28">
      <c r="A29" s="48" t="inlineStr">
        <is>
          <t>CT8427</t>
        </is>
      </c>
      <c r="B29" s="48" t="inlineStr">
        <is>
          <t>258575416816</t>
        </is>
      </c>
      <c r="C29" s="49" t="inlineStr">
        <is>
          <t>CT8427 (Lot 12 Halswell Country Estates - 47 Podocarp Drive, Christchurch)</t>
        </is>
      </c>
      <c r="D29" s="48" t="inlineStr">
        <is>
          <t>Fixtures/Internal Fit Out</t>
        </is>
      </c>
      <c r="E29" s="48" t="inlineStr">
        <is>
          <t>Fraser Finlayson</t>
        </is>
      </c>
      <c r="F29" s="48" t="inlineStr">
        <is>
          <t>DELETE</t>
        </is>
      </c>
    </row>
    <row r="30" ht="18" customHeight="1" s="28">
      <c r="A30" s="46" t="inlineStr">
        <is>
          <t>CT8428</t>
        </is>
      </c>
      <c r="B30" s="46" t="inlineStr">
        <is>
          <t>258580864503</t>
        </is>
      </c>
      <c r="C30" s="47" t="inlineStr">
        <is>
          <t>CT8428 (Lot 13 Halswell Country Estates - 49 Podocarp Drive, Christchurch)</t>
        </is>
      </c>
      <c r="D30" s="46" t="inlineStr">
        <is>
          <t>Customer Walkthrough &amp; Final Inspection</t>
        </is>
      </c>
      <c r="E30" s="46" t="inlineStr">
        <is>
          <t>Fraser Finlayson</t>
        </is>
      </c>
      <c r="F30" s="46" t="inlineStr">
        <is>
          <t>KEEP (oldest)</t>
        </is>
      </c>
    </row>
    <row r="31" ht="18" customHeight="1" s="28">
      <c r="A31" s="48" t="inlineStr">
        <is>
          <t>CT8428</t>
        </is>
      </c>
      <c r="B31" s="48" t="inlineStr">
        <is>
          <t>258516061679</t>
        </is>
      </c>
      <c r="C31" s="49" t="inlineStr">
        <is>
          <t>CT8428 (Lot 13 Halswell Country Estates - 49 Podocarp Drive, Christchurch)</t>
        </is>
      </c>
      <c r="D31" s="48" t="inlineStr">
        <is>
          <t>Customer Walkthrough &amp; Final Inspection</t>
        </is>
      </c>
      <c r="E31" s="48" t="inlineStr">
        <is>
          <t>Fraser Finlayson</t>
        </is>
      </c>
      <c r="F31" s="48" t="inlineStr">
        <is>
          <t>DELETE</t>
        </is>
      </c>
    </row>
    <row r="32" ht="18" customHeight="1" s="28">
      <c r="A32" s="48" t="inlineStr">
        <is>
          <t>CT8428</t>
        </is>
      </c>
      <c r="B32" s="48" t="inlineStr">
        <is>
          <t>258638765540</t>
        </is>
      </c>
      <c r="C32" s="49" t="inlineStr">
        <is>
          <t>CT8428 (Lot 13 Halswell Country Estates - 49 Podocarp Drive, Christchurch)</t>
        </is>
      </c>
      <c r="D32" s="48" t="inlineStr">
        <is>
          <t>Customer Walkthrough &amp; Final Inspection</t>
        </is>
      </c>
      <c r="E32" s="48" t="inlineStr">
        <is>
          <t>Fraser Finlayson</t>
        </is>
      </c>
      <c r="F32" s="48" t="inlineStr">
        <is>
          <t>DELETE</t>
        </is>
      </c>
    </row>
    <row r="33" ht="18" customHeight="1" s="28">
      <c r="A33" s="46" t="inlineStr">
        <is>
          <t>CT8554</t>
        </is>
      </c>
      <c r="B33" s="46" t="inlineStr">
        <is>
          <t>258544874996</t>
        </is>
      </c>
      <c r="C33" s="47" t="inlineStr">
        <is>
          <t>CT8554 (Lot 30 Quaifes Park - 39 Cork Street, Halswell, Christchurch)</t>
        </is>
      </c>
      <c r="D33" s="46" t="inlineStr">
        <is>
          <t>Interior Linings</t>
        </is>
      </c>
      <c r="E33" s="46" t="inlineStr">
        <is>
          <t>Fraser Finlayson</t>
        </is>
      </c>
      <c r="F33" s="46" t="inlineStr">
        <is>
          <t>KEEP (oldest)</t>
        </is>
      </c>
    </row>
    <row r="34" ht="18" customHeight="1" s="28">
      <c r="A34" s="48" t="inlineStr">
        <is>
          <t>CT8554</t>
        </is>
      </c>
      <c r="B34" s="48" t="inlineStr">
        <is>
          <t>258553798129</t>
        </is>
      </c>
      <c r="C34" s="49" t="inlineStr">
        <is>
          <t>CT8554 (Lot 30 Quaifes Park - 39 Cork Street, Halswell, Christchurch)</t>
        </is>
      </c>
      <c r="D34" s="48" t="inlineStr">
        <is>
          <t>Interior Linings</t>
        </is>
      </c>
      <c r="E34" s="48" t="inlineStr">
        <is>
          <t>Fraser Finlayson</t>
        </is>
      </c>
      <c r="F34" s="48" t="inlineStr">
        <is>
          <t>DELETE</t>
        </is>
      </c>
    </row>
    <row r="35" ht="18" customHeight="1" s="28">
      <c r="A35" s="48" t="inlineStr">
        <is>
          <t>CT8554</t>
        </is>
      </c>
      <c r="B35" s="48" t="inlineStr">
        <is>
          <t>258562787776</t>
        </is>
      </c>
      <c r="C35" s="49" t="inlineStr">
        <is>
          <t>CT8554 (Lot 30 Quaifes Park - 39 Cork Street, Halswell, Christchurch)</t>
        </is>
      </c>
      <c r="D35" s="48" t="inlineStr">
        <is>
          <t>Interior Linings</t>
        </is>
      </c>
      <c r="E35" s="48" t="inlineStr">
        <is>
          <t>Fraser Finlayson</t>
        </is>
      </c>
      <c r="F35" s="48" t="inlineStr">
        <is>
          <t>DELETE</t>
        </is>
      </c>
    </row>
    <row r="36" ht="18" customHeight="1" s="28">
      <c r="A36" s="46" t="inlineStr">
        <is>
          <t>CT8555</t>
        </is>
      </c>
      <c r="B36" s="46" t="inlineStr">
        <is>
          <t>258575424978</t>
        </is>
      </c>
      <c r="C36" s="47" t="inlineStr">
        <is>
          <t>CT8555 (Lot 31 Quaifes Park - 41 Cork Street, Halswell, Christchurch)</t>
        </is>
      </c>
      <c r="D36" s="46" t="inlineStr">
        <is>
          <t>Interior Linings</t>
        </is>
      </c>
      <c r="E36" s="46" t="inlineStr">
        <is>
          <t>Fraser Finlayson</t>
        </is>
      </c>
      <c r="F36" s="46" t="inlineStr">
        <is>
          <t>KEEP (oldest)</t>
        </is>
      </c>
    </row>
    <row r="37" ht="18" customHeight="1" s="28">
      <c r="A37" s="48" t="inlineStr">
        <is>
          <t>CT8555</t>
        </is>
      </c>
      <c r="B37" s="48" t="inlineStr">
        <is>
          <t>258635160043</t>
        </is>
      </c>
      <c r="C37" s="49" t="inlineStr">
        <is>
          <t>CT8555 (Lot 31 Quaifes Park - 41 Cork Street, Halswell, Christchurch)</t>
        </is>
      </c>
      <c r="D37" s="48" t="inlineStr">
        <is>
          <t>Interior Linings</t>
        </is>
      </c>
      <c r="E37" s="48" t="inlineStr">
        <is>
          <t>Fraser Finlayson</t>
        </is>
      </c>
      <c r="F37" s="48" t="inlineStr">
        <is>
          <t>DELETE</t>
        </is>
      </c>
    </row>
    <row r="38" ht="18" customHeight="1" s="28">
      <c r="A38" s="48" t="inlineStr">
        <is>
          <t>CT8555</t>
        </is>
      </c>
      <c r="B38" s="48" t="inlineStr">
        <is>
          <t>258644177346</t>
        </is>
      </c>
      <c r="C38" s="49" t="inlineStr">
        <is>
          <t>CT8555 (Lot 31 Quaifes Park - 41 Cork Street, Halswell, Christchurch)</t>
        </is>
      </c>
      <c r="D38" s="48" t="inlineStr">
        <is>
          <t>Interior Linings</t>
        </is>
      </c>
      <c r="E38" s="48" t="inlineStr">
        <is>
          <t>Fraser Finlayson</t>
        </is>
      </c>
      <c r="F38" s="48" t="inlineStr">
        <is>
          <t>DELETE</t>
        </is>
      </c>
    </row>
    <row r="39" ht="18" customHeight="1" s="28">
      <c r="A39" s="46" t="inlineStr">
        <is>
          <t>CT8587</t>
        </is>
      </c>
      <c r="B39" s="46" t="inlineStr">
        <is>
          <t>258544874997</t>
        </is>
      </c>
      <c r="C39" s="47" t="inlineStr">
        <is>
          <t>CT8587 (Lot 16 Sabys Estate - 36 Matamoe Drive, Halswell)</t>
        </is>
      </c>
      <c r="D39" s="46" t="inlineStr">
        <is>
          <t>Roof On</t>
        </is>
      </c>
      <c r="E39" s="46" t="inlineStr">
        <is>
          <t>Fraser Finlayson</t>
        </is>
      </c>
      <c r="F39" s="46" t="inlineStr">
        <is>
          <t>KEEP (oldest)</t>
        </is>
      </c>
    </row>
    <row r="40" ht="18" customHeight="1" s="28">
      <c r="A40" s="48" t="inlineStr">
        <is>
          <t>CT8587</t>
        </is>
      </c>
      <c r="B40" s="48" t="inlineStr">
        <is>
          <t>258645991883</t>
        </is>
      </c>
      <c r="C40" s="49" t="inlineStr">
        <is>
          <t>CT8587 (Lot 16 Sabys Estate - 36 Matamoe Drive, Halswell)</t>
        </is>
      </c>
      <c r="D40" s="48" t="inlineStr">
        <is>
          <t>Roof On</t>
        </is>
      </c>
      <c r="E40" s="48" t="inlineStr">
        <is>
          <t>Fraser Finlayson</t>
        </is>
      </c>
      <c r="F40" s="48" t="inlineStr">
        <is>
          <t>DELETE</t>
        </is>
      </c>
    </row>
    <row r="41" ht="18" customHeight="1" s="28">
      <c r="A41" s="48" t="inlineStr">
        <is>
          <t>CT8587</t>
        </is>
      </c>
      <c r="B41" s="48" t="inlineStr">
        <is>
          <t>258644177347</t>
        </is>
      </c>
      <c r="C41" s="49" t="inlineStr">
        <is>
          <t>CT8587 (Lot 16 Sabys Estate - 36 Matamoe Drive, Halswell)</t>
        </is>
      </c>
      <c r="D41" s="48" t="inlineStr">
        <is>
          <t>Roof On</t>
        </is>
      </c>
      <c r="E41" s="48" t="inlineStr">
        <is>
          <t>Fraser Finlayson</t>
        </is>
      </c>
      <c r="F41" s="48" t="inlineStr">
        <is>
          <t>DELETE</t>
        </is>
      </c>
    </row>
    <row r="42" ht="18" customHeight="1" s="28">
      <c r="A42" s="46" t="inlineStr">
        <is>
          <t>CT8617</t>
        </is>
      </c>
      <c r="B42" s="46" t="inlineStr">
        <is>
          <t>258541256156</t>
        </is>
      </c>
      <c r="C42" s="47" t="inlineStr">
        <is>
          <t>CT8617 (Lot 17 Halswell Country Estates - 20 Podocarp Drive, Halswell)</t>
        </is>
      </c>
      <c r="D42" s="46" t="inlineStr">
        <is>
          <t>WD Submitted to Council</t>
        </is>
      </c>
      <c r="E42" s="46" t="inlineStr">
        <is>
          <t>Fraser Finlayson</t>
        </is>
      </c>
      <c r="F42" s="46" t="inlineStr">
        <is>
          <t>KEEP (oldest)</t>
        </is>
      </c>
    </row>
    <row r="43" ht="18" customHeight="1" s="28">
      <c r="A43" s="48" t="inlineStr">
        <is>
          <t>CT8617</t>
        </is>
      </c>
      <c r="B43" s="48" t="inlineStr">
        <is>
          <t>258705226199</t>
        </is>
      </c>
      <c r="C43" s="49" t="inlineStr">
        <is>
          <t>CT8617 (Lot 17 Halswell Country Estates - 20 Podocarp Drive, Halswell)</t>
        </is>
      </c>
      <c r="D43" s="48" t="inlineStr">
        <is>
          <t>WD Submitted to Council</t>
        </is>
      </c>
      <c r="E43" s="48" t="inlineStr">
        <is>
          <t>Fraser Finlayson</t>
        </is>
      </c>
      <c r="F43" s="48" t="inlineStr">
        <is>
          <t>DELETE</t>
        </is>
      </c>
    </row>
    <row r="44" ht="18" customHeight="1" s="28">
      <c r="A44" s="48" t="inlineStr">
        <is>
          <t>CT8617</t>
        </is>
      </c>
      <c r="B44" s="48" t="inlineStr">
        <is>
          <t>258638765542</t>
        </is>
      </c>
      <c r="C44" s="49" t="inlineStr">
        <is>
          <t>CT8617 (Lot 17 Halswell Country Estates - 20 Podocarp Drive, Halswell)</t>
        </is>
      </c>
      <c r="D44" s="48" t="inlineStr">
        <is>
          <t>WD Submitted to Council</t>
        </is>
      </c>
      <c r="E44" s="48" t="inlineStr">
        <is>
          <t>Fraser Finlayson</t>
        </is>
      </c>
      <c r="F44" s="48" t="inlineStr">
        <is>
          <t>DELETE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27" min="1" max="1"/>
    <col width="58" customWidth="1" style="27" min="2" max="2"/>
    <col width="14" customWidth="1" style="27" min="3" max="3"/>
    <col width="22" customWidth="1" style="27" min="4" max="4"/>
    <col width="34" customWidth="1" style="27" min="5" max="5"/>
    <col width="14" customWidth="1" style="27" min="6" max="7"/>
  </cols>
  <sheetData>
    <row r="1" ht="18" customHeight="1" s="28">
      <c r="A1" s="29" t="inlineStr">
        <is>
          <t>Tickets Marked 'No Customer' (55 of 76)</t>
        </is>
      </c>
    </row>
    <row r="2" ht="18" customHeight="1" s="28"/>
    <row r="3" ht="18" customHeight="1" s="28">
      <c r="A3" s="38" t="inlineStr">
        <is>
          <t>Ticket ID</t>
        </is>
      </c>
      <c r="B3" s="38" t="inlineStr">
        <is>
          <t>Ticket Name</t>
        </is>
      </c>
      <c r="C3" s="38" t="inlineStr">
        <is>
          <t>Hummer Job #</t>
        </is>
      </c>
      <c r="D3" s="38" t="inlineStr">
        <is>
          <t>Owner</t>
        </is>
      </c>
      <c r="E3" s="38" t="inlineStr">
        <is>
          <t>Stage</t>
        </is>
      </c>
      <c r="F3" s="38" t="inlineStr">
        <is>
          <t>Has Contact</t>
        </is>
      </c>
      <c r="G3" s="38" t="inlineStr">
        <is>
          <t>Has Deal</t>
        </is>
      </c>
    </row>
    <row r="4" ht="18" customHeight="1" s="28">
      <c r="A4" s="39" t="inlineStr">
        <is>
          <t>258635161035</t>
        </is>
      </c>
      <c r="B4" s="50" t="inlineStr">
        <is>
          <t>CT8669 (Lot 36 Grayshott Glade - 10 Tulett Park Drive, Casebrook, Christchurch)</t>
        </is>
      </c>
      <c r="C4" s="39" t="inlineStr">
        <is>
          <t>CT8669</t>
        </is>
      </c>
      <c r="D4" s="39" t="inlineStr">
        <is>
          <t>Killian O'Neill</t>
        </is>
      </c>
      <c r="E4" s="39" t="inlineStr">
        <is>
          <t>Contract Confirmed Signed</t>
        </is>
      </c>
      <c r="F4" s="39" t="inlineStr">
        <is>
          <t>Yes</t>
        </is>
      </c>
      <c r="G4" s="39" t="inlineStr">
        <is>
          <t>No</t>
        </is>
      </c>
    </row>
    <row r="5" ht="18" customHeight="1" s="28">
      <c r="A5" s="41" t="inlineStr">
        <is>
          <t>258638773735</t>
        </is>
      </c>
      <c r="B5" s="51" t="inlineStr">
        <is>
          <t>CT8668 (Lot 35 Grayshott Glade - 8 Tulett Park Drive, Casebrook, Christchurch)</t>
        </is>
      </c>
      <c r="C5" s="41" t="inlineStr">
        <is>
          <t>CT8668</t>
        </is>
      </c>
      <c r="D5" s="41" t="inlineStr">
        <is>
          <t>Killian O'Neill</t>
        </is>
      </c>
      <c r="E5" s="41" t="inlineStr">
        <is>
          <t>Contract Confirmed Signed</t>
        </is>
      </c>
      <c r="F5" s="41" t="inlineStr">
        <is>
          <t>Yes</t>
        </is>
      </c>
      <c r="G5" s="41" t="inlineStr">
        <is>
          <t>No</t>
        </is>
      </c>
    </row>
    <row r="6" ht="18" customHeight="1" s="28">
      <c r="A6" s="39" t="inlineStr">
        <is>
          <t>258516062697</t>
        </is>
      </c>
      <c r="B6" s="50" t="inlineStr">
        <is>
          <t>CT8667 (Lot 32 Grayshott Glade - 6 Komanawa Place, Casebrook, Christchurch)</t>
        </is>
      </c>
      <c r="C6" s="39" t="inlineStr">
        <is>
          <t>CT8667</t>
        </is>
      </c>
      <c r="D6" s="39" t="inlineStr">
        <is>
          <t>Killian O'Neill</t>
        </is>
      </c>
      <c r="E6" s="39" t="inlineStr">
        <is>
          <t>Contract Confirmed Signed</t>
        </is>
      </c>
      <c r="F6" s="39" t="inlineStr">
        <is>
          <t>Yes</t>
        </is>
      </c>
      <c r="G6" s="39" t="inlineStr">
        <is>
          <t>No</t>
        </is>
      </c>
    </row>
    <row r="7" ht="18" customHeight="1" s="28">
      <c r="A7" s="41" t="inlineStr">
        <is>
          <t>258580865469</t>
        </is>
      </c>
      <c r="B7" s="51" t="inlineStr">
        <is>
          <t>CT8666 (Lot 31 Grayshott Glade - 8 Komanawa Place, Casebrook, Christchurch)</t>
        </is>
      </c>
      <c r="C7" s="41" t="inlineStr">
        <is>
          <t>CT8666</t>
        </is>
      </c>
      <c r="D7" s="41" t="inlineStr">
        <is>
          <t>Killian O'Neill</t>
        </is>
      </c>
      <c r="E7" s="41" t="inlineStr">
        <is>
          <t>Contract Confirmed Signed</t>
        </is>
      </c>
      <c r="F7" s="41" t="inlineStr">
        <is>
          <t>Yes</t>
        </is>
      </c>
      <c r="G7" s="41" t="inlineStr">
        <is>
          <t>No</t>
        </is>
      </c>
    </row>
    <row r="8" ht="18" customHeight="1" s="28">
      <c r="A8" s="39" t="inlineStr">
        <is>
          <t>258645992904</t>
        </is>
      </c>
      <c r="B8" s="50" t="inlineStr">
        <is>
          <t>CT8410 (Lot 6 Highsted - 64 Flaxmill Road, Casebrook)</t>
        </is>
      </c>
      <c r="C8" s="39" t="inlineStr">
        <is>
          <t>CT8410</t>
        </is>
      </c>
      <c r="D8" s="39" t="inlineStr">
        <is>
          <t>Killian O'Neill</t>
        </is>
      </c>
      <c r="E8" s="39" t="inlineStr">
        <is>
          <t>Cladding On</t>
        </is>
      </c>
      <c r="F8" s="39" t="inlineStr">
        <is>
          <t>Yes</t>
        </is>
      </c>
      <c r="G8" s="39" t="inlineStr">
        <is>
          <t>No</t>
        </is>
      </c>
    </row>
    <row r="9" ht="18" customHeight="1" s="28">
      <c r="A9" s="41" t="inlineStr">
        <is>
          <t>258516062696</t>
        </is>
      </c>
      <c r="B9" s="51" t="inlineStr">
        <is>
          <t>CT8374 (Lot 245 Silverstream - 35 Bastings Street, Kaiapoi)</t>
        </is>
      </c>
      <c r="C9" s="41" t="inlineStr">
        <is>
          <t>CT8374</t>
        </is>
      </c>
      <c r="D9" s="41" t="inlineStr">
        <is>
          <t>Killian O'Neill</t>
        </is>
      </c>
      <c r="E9" s="41" t="inlineStr">
        <is>
          <t>Schedule Pre Construction Meeting</t>
        </is>
      </c>
      <c r="F9" s="41" t="inlineStr">
        <is>
          <t>Yes</t>
        </is>
      </c>
      <c r="G9" s="41" t="inlineStr">
        <is>
          <t>No</t>
        </is>
      </c>
    </row>
    <row r="10" ht="18" customHeight="1" s="28">
      <c r="A10" s="39" t="inlineStr">
        <is>
          <t>258516062695</t>
        </is>
      </c>
      <c r="B10" s="50" t="inlineStr">
        <is>
          <t>CT8373 (Lot 244 Silverstream - 37 Bastings Street, Kaiapoi)</t>
        </is>
      </c>
      <c r="C10" s="39" t="inlineStr">
        <is>
          <t>CT8373</t>
        </is>
      </c>
      <c r="D10" s="39" t="inlineStr">
        <is>
          <t>Killian O'Neill</t>
        </is>
      </c>
      <c r="E10" s="39" t="inlineStr">
        <is>
          <t>Groundwork Commenced</t>
        </is>
      </c>
      <c r="F10" s="39" t="inlineStr">
        <is>
          <t>Yes</t>
        </is>
      </c>
      <c r="G10" s="39" t="inlineStr">
        <is>
          <t>No</t>
        </is>
      </c>
    </row>
    <row r="11" ht="18" customHeight="1" s="28">
      <c r="A11" s="41" t="inlineStr">
        <is>
          <t>258564590019</t>
        </is>
      </c>
      <c r="B11" s="51" t="inlineStr">
        <is>
          <t>CT8372 (Lot 24 Silverstream - 57 Adderley Terrace, Kaiapoi)</t>
        </is>
      </c>
      <c r="C11" s="41" t="inlineStr">
        <is>
          <t>CT8372</t>
        </is>
      </c>
      <c r="D11" s="41" t="inlineStr">
        <is>
          <t>Killian O'Neill</t>
        </is>
      </c>
      <c r="E11" s="41" t="inlineStr">
        <is>
          <t>Painting &amp; Finishing</t>
        </is>
      </c>
      <c r="F11" s="41" t="inlineStr">
        <is>
          <t>Yes</t>
        </is>
      </c>
      <c r="G11" s="41" t="inlineStr">
        <is>
          <t>No</t>
        </is>
      </c>
    </row>
    <row r="12" ht="18" customHeight="1" s="28">
      <c r="A12" s="39" t="inlineStr">
        <is>
          <t>258647787970</t>
        </is>
      </c>
      <c r="B12" s="50" t="inlineStr">
        <is>
          <t>CT8371 (Lot 23 Silverstream - 35 Joslen Way, Kaiapoi)</t>
        </is>
      </c>
      <c r="C12" s="39" t="inlineStr">
        <is>
          <t>CT8371</t>
        </is>
      </c>
      <c r="D12" s="39" t="inlineStr">
        <is>
          <t>Killian O'Neill</t>
        </is>
      </c>
      <c r="E12" s="39" t="inlineStr">
        <is>
          <t>Schedule Pre Construction Meeting</t>
        </is>
      </c>
      <c r="F12" s="39" t="inlineStr">
        <is>
          <t>Yes</t>
        </is>
      </c>
      <c r="G12" s="39" t="inlineStr">
        <is>
          <t>No</t>
        </is>
      </c>
    </row>
    <row r="13" ht="18" customHeight="1" s="28">
      <c r="A13" s="41" t="inlineStr">
        <is>
          <t>258541256161</t>
        </is>
      </c>
      <c r="B13" s="51" t="inlineStr">
        <is>
          <t>CT8370 (Lot 22 Silverstream - 61 Adderley Terrace, Kaiapoi)</t>
        </is>
      </c>
      <c r="C13" s="41" t="inlineStr">
        <is>
          <t>CT8370</t>
        </is>
      </c>
      <c r="D13" s="41" t="inlineStr">
        <is>
          <t>Killian O'Neill</t>
        </is>
      </c>
      <c r="E13" s="41" t="inlineStr">
        <is>
          <t>Schedule Pre Construction Meeting</t>
        </is>
      </c>
      <c r="F13" s="41" t="inlineStr">
        <is>
          <t>Yes</t>
        </is>
      </c>
      <c r="G13" s="41" t="inlineStr">
        <is>
          <t>No</t>
        </is>
      </c>
    </row>
    <row r="14" ht="18" customHeight="1" s="28">
      <c r="A14" s="39" t="inlineStr">
        <is>
          <t>258642367952</t>
        </is>
      </c>
      <c r="B14" s="50" t="inlineStr">
        <is>
          <t>CT8369 (Lot 139 Silverstream - 48 Adderley Terrace, Kaiapoi)</t>
        </is>
      </c>
      <c r="C14" s="39" t="inlineStr">
        <is>
          <t>CT8369</t>
        </is>
      </c>
      <c r="D14" s="39" t="inlineStr">
        <is>
          <t>Killian O'Neill</t>
        </is>
      </c>
      <c r="E14" s="39" t="inlineStr">
        <is>
          <t>Customer Walkthrough &amp; Final Inspection</t>
        </is>
      </c>
      <c r="F14" s="39" t="inlineStr">
        <is>
          <t>Yes</t>
        </is>
      </c>
      <c r="G14" s="39" t="inlineStr">
        <is>
          <t>No</t>
        </is>
      </c>
    </row>
    <row r="15" ht="18" customHeight="1" s="28">
      <c r="A15" s="41" t="inlineStr">
        <is>
          <t>258638773734</t>
        </is>
      </c>
      <c r="B15" s="51" t="inlineStr">
        <is>
          <t>CT8405 (Lot 140 Prestons Grove - 25 Padstow Loop, Marshland, Christchurch)</t>
        </is>
      </c>
      <c r="C15" s="41" t="inlineStr">
        <is>
          <t>CT8405</t>
        </is>
      </c>
      <c r="D15" s="41" t="inlineStr">
        <is>
          <t>Andrew Scott</t>
        </is>
      </c>
      <c r="E15" s="41" t="inlineStr">
        <is>
          <t>Schedule Pre Construction Meeting</t>
        </is>
      </c>
      <c r="F15" s="41" t="inlineStr">
        <is>
          <t>Yes</t>
        </is>
      </c>
      <c r="G15" s="41" t="inlineStr">
        <is>
          <t>No</t>
        </is>
      </c>
    </row>
    <row r="16" ht="18" customHeight="1" s="28">
      <c r="A16" s="39" t="inlineStr">
        <is>
          <t>258575424980</t>
        </is>
      </c>
      <c r="B16" s="50" t="inlineStr">
        <is>
          <t>CT8391 (Lot 19 Prestons Grove - 11 Padstow Loop, Marshland, Christchurch)</t>
        </is>
      </c>
      <c r="C16" s="39" t="inlineStr">
        <is>
          <t>CT8391</t>
        </is>
      </c>
      <c r="D16" s="39" t="inlineStr">
        <is>
          <t>Andrew Scott</t>
        </is>
      </c>
      <c r="E16" s="39" t="inlineStr">
        <is>
          <t>Schedule Pre Construction Meeting</t>
        </is>
      </c>
      <c r="F16" s="39" t="inlineStr">
        <is>
          <t>Yes</t>
        </is>
      </c>
      <c r="G16" s="39" t="inlineStr">
        <is>
          <t>No</t>
        </is>
      </c>
    </row>
    <row r="17" ht="18" customHeight="1" s="28">
      <c r="A17" s="41" t="inlineStr">
        <is>
          <t>258642367951</t>
        </is>
      </c>
      <c r="B17" s="51" t="inlineStr">
        <is>
          <t>CT8208 (Lot 107 Te Whaiawa - 18 Kakaruai Crescent, West Melton)</t>
        </is>
      </c>
      <c r="C17" s="41" t="inlineStr">
        <is>
          <t>CT8208</t>
        </is>
      </c>
      <c r="D17" s="41" t="inlineStr">
        <is>
          <t>Andrew Scott</t>
        </is>
      </c>
      <c r="E17" s="41" t="inlineStr">
        <is>
          <t>Windows In</t>
        </is>
      </c>
      <c r="F17" s="41" t="inlineStr">
        <is>
          <t>Yes</t>
        </is>
      </c>
      <c r="G17" s="41" t="inlineStr">
        <is>
          <t>No</t>
        </is>
      </c>
    </row>
    <row r="18" ht="18" customHeight="1" s="28">
      <c r="A18" s="39" t="inlineStr">
        <is>
          <t>258566393311</t>
        </is>
      </c>
      <c r="B18" s="50" t="inlineStr">
        <is>
          <t>CT8207 (Lot 106 Te Whaiawa - 16 Kakaruai Crescent, West Melton)</t>
        </is>
      </c>
      <c r="C18" s="39" t="inlineStr">
        <is>
          <t>CT8207</t>
        </is>
      </c>
      <c r="D18" s="39" t="inlineStr">
        <is>
          <t>Andrew Scott</t>
        </is>
      </c>
      <c r="E18" s="39" t="inlineStr">
        <is>
          <t>Roof On</t>
        </is>
      </c>
      <c r="F18" s="39" t="inlineStr">
        <is>
          <t>Yes</t>
        </is>
      </c>
      <c r="G18" s="39" t="inlineStr">
        <is>
          <t>No</t>
        </is>
      </c>
    </row>
    <row r="19" ht="18" customHeight="1" s="28">
      <c r="A19" s="41" t="inlineStr">
        <is>
          <t>258635161033</t>
        </is>
      </c>
      <c r="B19" s="51" t="inlineStr">
        <is>
          <t>CT8206 (Lot 101 Te Whaiawa - 6 Kakaruai Crescent, West Melton)</t>
        </is>
      </c>
      <c r="C19" s="41" t="inlineStr">
        <is>
          <t>CT8206</t>
        </is>
      </c>
      <c r="D19" s="41" t="inlineStr">
        <is>
          <t>Andrew Scott</t>
        </is>
      </c>
      <c r="E19" s="41" t="inlineStr">
        <is>
          <t>Roof On</t>
        </is>
      </c>
      <c r="F19" s="41" t="inlineStr">
        <is>
          <t>Yes</t>
        </is>
      </c>
      <c r="G19" s="41" t="inlineStr">
        <is>
          <t>No</t>
        </is>
      </c>
    </row>
    <row r="20" ht="18" customHeight="1" s="28">
      <c r="A20" s="39" t="inlineStr">
        <is>
          <t>258644182518</t>
        </is>
      </c>
      <c r="B20" s="50" t="inlineStr">
        <is>
          <t>CT8172 (Lot 137 Prestons Grove - 26 Padstow Loop, Marshland, Christchurch)</t>
        </is>
      </c>
      <c r="C20" s="39" t="inlineStr">
        <is>
          <t>CT8172</t>
        </is>
      </c>
      <c r="D20" s="39" t="inlineStr">
        <is>
          <t>Andrew Scott</t>
        </is>
      </c>
      <c r="E20" s="39" t="inlineStr">
        <is>
          <t>Schedule Pre Construction Meeting</t>
        </is>
      </c>
      <c r="F20" s="39" t="inlineStr">
        <is>
          <t>Yes</t>
        </is>
      </c>
      <c r="G20" s="39" t="inlineStr">
        <is>
          <t>No</t>
        </is>
      </c>
    </row>
    <row r="21" ht="18" customHeight="1" s="28">
      <c r="A21" s="41" t="inlineStr">
        <is>
          <t>258577271281</t>
        </is>
      </c>
      <c r="B21" s="51" t="inlineStr">
        <is>
          <t>CT8167 (Lot 127 Prestons Grove - 46 Padstow Loop, Marshland, Christchurch)</t>
        </is>
      </c>
      <c r="C21" s="41" t="inlineStr">
        <is>
          <t>CT8167</t>
        </is>
      </c>
      <c r="D21" s="41" t="inlineStr">
        <is>
          <t>Andrew Scott</t>
        </is>
      </c>
      <c r="E21" s="41" t="inlineStr">
        <is>
          <t>Foundations / Slab Poured</t>
        </is>
      </c>
      <c r="F21" s="41" t="inlineStr">
        <is>
          <t>Yes</t>
        </is>
      </c>
      <c r="G21" s="41" t="inlineStr">
        <is>
          <t>No</t>
        </is>
      </c>
    </row>
    <row r="22" ht="18" customHeight="1" s="28">
      <c r="A22" s="39" t="inlineStr">
        <is>
          <t>258580865466</t>
        </is>
      </c>
      <c r="B22" s="50" t="inlineStr">
        <is>
          <t>CT8127 (Lot 134 Prestons Grove - 32 Padstow Loop, Marshland, Christchurch)</t>
        </is>
      </c>
      <c r="C22" s="39" t="inlineStr">
        <is>
          <t>CT8127</t>
        </is>
      </c>
      <c r="D22" s="39" t="inlineStr">
        <is>
          <t>Andrew Scott</t>
        </is>
      </c>
      <c r="E22" s="39" t="inlineStr">
        <is>
          <t>Foundations / Slab Poured</t>
        </is>
      </c>
      <c r="F22" s="39" t="inlineStr">
        <is>
          <t>Yes</t>
        </is>
      </c>
      <c r="G22" s="39" t="inlineStr">
        <is>
          <t>No</t>
        </is>
      </c>
    </row>
    <row r="23" ht="18" customHeight="1" s="28">
      <c r="A23" s="41" t="inlineStr">
        <is>
          <t>258562793932</t>
        </is>
      </c>
      <c r="B23" s="51" t="inlineStr">
        <is>
          <t>CT8007 (Lot 61 Hampton Grove - 11 Northampton Drive, Prebbleton)</t>
        </is>
      </c>
      <c r="C23" s="41" t="inlineStr">
        <is>
          <t>CT8007</t>
        </is>
      </c>
      <c r="D23" s="41" t="inlineStr">
        <is>
          <t>Andrew Scott</t>
        </is>
      </c>
      <c r="E23" s="41" t="inlineStr">
        <is>
          <t>Painting &amp; Finishing</t>
        </is>
      </c>
      <c r="F23" s="41" t="inlineStr">
        <is>
          <t>Yes</t>
        </is>
      </c>
      <c r="G23" s="41" t="inlineStr">
        <is>
          <t>No</t>
        </is>
      </c>
    </row>
    <row r="24" ht="18" customHeight="1" s="28">
      <c r="A24" s="39" t="inlineStr">
        <is>
          <t>258705227246</t>
        </is>
      </c>
      <c r="B24" s="50" t="inlineStr">
        <is>
          <t>CT8006 (Lot 60 Hampton Grove - 13 Northampton Drive, Prebbleton)</t>
        </is>
      </c>
      <c r="C24" s="39" t="inlineStr">
        <is>
          <t>CT8006</t>
        </is>
      </c>
      <c r="D24" s="39" t="inlineStr">
        <is>
          <t>Andrew Scott</t>
        </is>
      </c>
      <c r="E24" s="39" t="inlineStr">
        <is>
          <t>Painting &amp; Finishing</t>
        </is>
      </c>
      <c r="F24" s="39" t="inlineStr">
        <is>
          <t>Yes</t>
        </is>
      </c>
      <c r="G24" s="39" t="inlineStr">
        <is>
          <t>No</t>
        </is>
      </c>
    </row>
    <row r="25" ht="18" customHeight="1" s="28">
      <c r="A25" s="41" t="inlineStr">
        <is>
          <t>258541256158</t>
        </is>
      </c>
      <c r="B25" s="51" t="inlineStr">
        <is>
          <t>CT8447 (Lot 4 Berryfields - 147 Gardiners Road, Harewood)</t>
        </is>
      </c>
      <c r="C25" s="41" t="inlineStr">
        <is>
          <t>CT8447</t>
        </is>
      </c>
      <c r="D25" s="41" t="inlineStr">
        <is>
          <t>Corey Flynn</t>
        </is>
      </c>
      <c r="E25" s="41" t="inlineStr">
        <is>
          <t>Fixtures/Internal Fit Out</t>
        </is>
      </c>
      <c r="F25" s="41" t="inlineStr">
        <is>
          <t>Yes</t>
        </is>
      </c>
      <c r="G25" s="41" t="inlineStr">
        <is>
          <t>No</t>
        </is>
      </c>
    </row>
    <row r="26" ht="18" customHeight="1" s="28">
      <c r="A26" s="39" t="inlineStr">
        <is>
          <t>258644182517</t>
        </is>
      </c>
      <c r="B26" s="50" t="inlineStr">
        <is>
          <t>CT8446 (Lot 2 Berryfields - 151 Gardiners Road, Harewood)</t>
        </is>
      </c>
      <c r="C26" s="39" t="inlineStr">
        <is>
          <t>CT8446</t>
        </is>
      </c>
      <c r="D26" s="39" t="inlineStr">
        <is>
          <t>Corey Flynn</t>
        </is>
      </c>
      <c r="E26" s="39" t="inlineStr">
        <is>
          <t>Fixtures/Internal Fit Out</t>
        </is>
      </c>
      <c r="F26" s="39" t="inlineStr">
        <is>
          <t>Yes</t>
        </is>
      </c>
      <c r="G26" s="39" t="inlineStr">
        <is>
          <t>No</t>
        </is>
      </c>
    </row>
    <row r="27" ht="18" customHeight="1" s="28">
      <c r="A27" s="41" t="inlineStr">
        <is>
          <t>258580864505</t>
        </is>
      </c>
      <c r="B27" s="51" t="inlineStr">
        <is>
          <t>CT8166 (Lot 126 Prestons Grove - 48 Padstow Loop, Marshland, Christchurch)</t>
        </is>
      </c>
      <c r="C27" s="41" t="inlineStr">
        <is>
          <t>CT8166</t>
        </is>
      </c>
      <c r="D27" s="41" t="inlineStr">
        <is>
          <t>Corey Flynn</t>
        </is>
      </c>
      <c r="E27" s="41" t="inlineStr">
        <is>
          <t>Frames Up</t>
        </is>
      </c>
      <c r="F27" s="41" t="inlineStr">
        <is>
          <t>Yes</t>
        </is>
      </c>
      <c r="G27" s="41" t="inlineStr">
        <is>
          <t>No</t>
        </is>
      </c>
    </row>
    <row r="28" ht="18" customHeight="1" s="28">
      <c r="A28" s="39" t="inlineStr">
        <is>
          <t>258644182516</t>
        </is>
      </c>
      <c r="B28" s="50" t="inlineStr">
        <is>
          <t>CT8124 (Lot 125 Prestons Grove - 50 Padstow Loop, Marshland, Christchurch)</t>
        </is>
      </c>
      <c r="C28" s="39" t="inlineStr">
        <is>
          <t>CT8124</t>
        </is>
      </c>
      <c r="D28" s="39" t="inlineStr">
        <is>
          <t>Corey Flynn</t>
        </is>
      </c>
      <c r="E28" s="39" t="inlineStr">
        <is>
          <t>Frames Up</t>
        </is>
      </c>
      <c r="F28" s="39" t="inlineStr">
        <is>
          <t>Yes</t>
        </is>
      </c>
      <c r="G28" s="39" t="inlineStr">
        <is>
          <t>No</t>
        </is>
      </c>
    </row>
    <row r="29" ht="18" customHeight="1" s="28">
      <c r="A29" s="41" t="inlineStr">
        <is>
          <t>258544874997</t>
        </is>
      </c>
      <c r="B29" s="51" t="inlineStr">
        <is>
          <t>CT8587 (Lot 16 Sabys Estate - 36 Matamoe Drive, Halswell)</t>
        </is>
      </c>
      <c r="C29" s="41" t="inlineStr">
        <is>
          <t>CT8587</t>
        </is>
      </c>
      <c r="D29" s="41" t="inlineStr">
        <is>
          <t>Fraser Finlayson</t>
        </is>
      </c>
      <c r="E29" s="41" t="inlineStr">
        <is>
          <t>Roof On</t>
        </is>
      </c>
      <c r="F29" s="41" t="inlineStr">
        <is>
          <t>Yes</t>
        </is>
      </c>
      <c r="G29" s="41" t="inlineStr">
        <is>
          <t>No</t>
        </is>
      </c>
    </row>
    <row r="30" ht="18" customHeight="1" s="28">
      <c r="A30" s="39" t="inlineStr">
        <is>
          <t>258575424978</t>
        </is>
      </c>
      <c r="B30" s="50" t="inlineStr">
        <is>
          <t>CT8555 (Lot 31 Quaifes Park - 41 Cork Street, Halswell, Christchurch)</t>
        </is>
      </c>
      <c r="C30" s="39" t="inlineStr">
        <is>
          <t>CT8555</t>
        </is>
      </c>
      <c r="D30" s="39" t="inlineStr">
        <is>
          <t>Fraser Finlayson</t>
        </is>
      </c>
      <c r="E30" s="39" t="inlineStr">
        <is>
          <t>Interior Linings</t>
        </is>
      </c>
      <c r="F30" s="39" t="inlineStr">
        <is>
          <t>Yes</t>
        </is>
      </c>
      <c r="G30" s="39" t="inlineStr">
        <is>
          <t>No</t>
        </is>
      </c>
    </row>
    <row r="31" ht="18" customHeight="1" s="28">
      <c r="A31" s="41" t="inlineStr">
        <is>
          <t>258580864503</t>
        </is>
      </c>
      <c r="B31" s="51" t="inlineStr">
        <is>
          <t>CT8428 (Lot 13 Halswell Country Estates - 49 Podocarp Drive, Christchurch)</t>
        </is>
      </c>
      <c r="C31" s="41" t="inlineStr">
        <is>
          <t>CT8428</t>
        </is>
      </c>
      <c r="D31" s="41" t="inlineStr">
        <is>
          <t>Fraser Finlayson</t>
        </is>
      </c>
      <c r="E31" s="41" t="inlineStr">
        <is>
          <t>Customer Walkthrough &amp; Final Inspection</t>
        </is>
      </c>
      <c r="F31" s="41" t="inlineStr">
        <is>
          <t>Yes</t>
        </is>
      </c>
      <c r="G31" s="41" t="inlineStr">
        <is>
          <t>No</t>
        </is>
      </c>
    </row>
    <row r="32" ht="18" customHeight="1" s="28">
      <c r="A32" s="39" t="inlineStr">
        <is>
          <t>258642367950</t>
        </is>
      </c>
      <c r="B32" s="50" t="inlineStr">
        <is>
          <t>CT8427 (Lot 12 Halswell Country Estates - 47 Podocarp Drive, Christchurch)</t>
        </is>
      </c>
      <c r="C32" s="39" t="inlineStr">
        <is>
          <t>CT8427</t>
        </is>
      </c>
      <c r="D32" s="39" t="inlineStr">
        <is>
          <t>Fraser Finlayson</t>
        </is>
      </c>
      <c r="E32" s="39" t="inlineStr">
        <is>
          <t>Fixtures/Internal Fit Out</t>
        </is>
      </c>
      <c r="F32" s="39" t="inlineStr">
        <is>
          <t>Yes</t>
        </is>
      </c>
      <c r="G32" s="39" t="inlineStr">
        <is>
          <t>No</t>
        </is>
      </c>
    </row>
    <row r="33" ht="18" customHeight="1" s="28">
      <c r="A33" s="41" t="inlineStr">
        <is>
          <t>258647787966</t>
        </is>
      </c>
      <c r="B33" s="51" t="inlineStr">
        <is>
          <t>CT8426 (Lot 11 Halswell Country Estates - 45 Podocarp Drive, Christchurch)</t>
        </is>
      </c>
      <c r="C33" s="41" t="inlineStr">
        <is>
          <t>CT8426</t>
        </is>
      </c>
      <c r="D33" s="41" t="inlineStr">
        <is>
          <t>Fraser Finlayson</t>
        </is>
      </c>
      <c r="E33" s="41" t="inlineStr">
        <is>
          <t>Fixtures/Internal Fit Out</t>
        </is>
      </c>
      <c r="F33" s="41" t="inlineStr">
        <is>
          <t>Yes</t>
        </is>
      </c>
      <c r="G33" s="41" t="inlineStr">
        <is>
          <t>No</t>
        </is>
      </c>
    </row>
    <row r="34" ht="18" customHeight="1" s="28">
      <c r="A34" s="39" t="inlineStr">
        <is>
          <t>258566393307</t>
        </is>
      </c>
      <c r="B34" s="50" t="inlineStr">
        <is>
          <t>CT8204 (Lot 18 Te Whaiawa - 56 Te Whaiawa Crescent, West Melton)</t>
        </is>
      </c>
      <c r="C34" s="39" t="inlineStr">
        <is>
          <t>CT8204</t>
        </is>
      </c>
      <c r="D34" s="39" t="inlineStr">
        <is>
          <t>Fraser Finlayson</t>
        </is>
      </c>
      <c r="E34" s="39" t="inlineStr">
        <is>
          <t>Cladding On</t>
        </is>
      </c>
      <c r="F34" s="39" t="inlineStr">
        <is>
          <t>Yes</t>
        </is>
      </c>
      <c r="G34" s="39" t="inlineStr">
        <is>
          <t>No</t>
        </is>
      </c>
    </row>
    <row r="35" ht="18" customHeight="1" s="28">
      <c r="A35" s="41" t="inlineStr">
        <is>
          <t>258580864502</t>
        </is>
      </c>
      <c r="B35" s="51" t="inlineStr">
        <is>
          <t>CT8203 (Lot 17 Te Whaiawa - 58 Te Whaiawa Crescent, West Melton, Selwyn)</t>
        </is>
      </c>
      <c r="C35" s="41" t="inlineStr">
        <is>
          <t>CT8203</t>
        </is>
      </c>
      <c r="D35" s="41" t="inlineStr">
        <is>
          <t>Fraser Finlayson</t>
        </is>
      </c>
      <c r="E35" s="41" t="inlineStr">
        <is>
          <t>Interior Linings</t>
        </is>
      </c>
      <c r="F35" s="41" t="inlineStr">
        <is>
          <t>Yes</t>
        </is>
      </c>
      <c r="G35" s="41" t="inlineStr">
        <is>
          <t>No</t>
        </is>
      </c>
    </row>
    <row r="36" ht="18" customHeight="1" s="28">
      <c r="A36" s="39" t="inlineStr">
        <is>
          <t>258544874995</t>
        </is>
      </c>
      <c r="B36" s="50" t="inlineStr">
        <is>
          <t>CT8200 (Lot 14 Te Whaiawa - 64 Te Whaiawa Crescent, West Melton)</t>
        </is>
      </c>
      <c r="C36" s="39" t="inlineStr">
        <is>
          <t>CT8200</t>
        </is>
      </c>
      <c r="D36" s="39" t="inlineStr">
        <is>
          <t>Fraser Finlayson</t>
        </is>
      </c>
      <c r="E36" s="39" t="inlineStr">
        <is>
          <t>Interior Linings</t>
        </is>
      </c>
      <c r="F36" s="39" t="inlineStr">
        <is>
          <t>Yes</t>
        </is>
      </c>
      <c r="G36" s="39" t="inlineStr">
        <is>
          <t>No</t>
        </is>
      </c>
    </row>
    <row r="37" ht="18" customHeight="1" s="28">
      <c r="A37" s="41" t="inlineStr">
        <is>
          <t>258553799140</t>
        </is>
      </c>
      <c r="B37" s="51" t="inlineStr">
        <is>
          <t>CT8197 (Lot 9 Te Whaiawa - 74 Te Whaiawa Crescent, West Melton)</t>
        </is>
      </c>
      <c r="C37" s="41" t="inlineStr">
        <is>
          <t>CT8197</t>
        </is>
      </c>
      <c r="D37" s="41" t="inlineStr">
        <is>
          <t>Fraser Finlayson</t>
        </is>
      </c>
      <c r="E37" s="41" t="inlineStr">
        <is>
          <t>Painting &amp; Finishing</t>
        </is>
      </c>
      <c r="F37" s="41" t="inlineStr">
        <is>
          <t>Yes</t>
        </is>
      </c>
      <c r="G37" s="41" t="inlineStr">
        <is>
          <t>No</t>
        </is>
      </c>
    </row>
    <row r="38" ht="18" customHeight="1" s="28">
      <c r="A38" s="39" t="inlineStr">
        <is>
          <t>258642367949</t>
        </is>
      </c>
      <c r="B38" s="50" t="inlineStr">
        <is>
          <t>CT8196 (Lot 8 Te Whaiawa - 76 Te Whaiawa Crescent, West Melton)</t>
        </is>
      </c>
      <c r="C38" s="39" t="inlineStr">
        <is>
          <t>CT8196</t>
        </is>
      </c>
      <c r="D38" s="39" t="inlineStr">
        <is>
          <t>Fraser Finlayson</t>
        </is>
      </c>
      <c r="E38" s="39" t="inlineStr">
        <is>
          <t>Painting &amp; Finishing</t>
        </is>
      </c>
      <c r="F38" s="39" t="inlineStr">
        <is>
          <t>Yes</t>
        </is>
      </c>
      <c r="G38" s="39" t="inlineStr">
        <is>
          <t>No</t>
        </is>
      </c>
    </row>
    <row r="39" ht="18" customHeight="1" s="28">
      <c r="A39" s="41" t="inlineStr">
        <is>
          <t>258645991883</t>
        </is>
      </c>
      <c r="B39" s="51" t="inlineStr">
        <is>
          <t>CT8587 (Lot 16 Sabys Estate - 36 Matamoe Drive, Halswell)</t>
        </is>
      </c>
      <c r="C39" s="41" t="inlineStr">
        <is>
          <t>CT8587</t>
        </is>
      </c>
      <c r="D39" s="41" t="inlineStr">
        <is>
          <t>Fraser Finlayson</t>
        </is>
      </c>
      <c r="E39" s="41" t="inlineStr">
        <is>
          <t>Roof On</t>
        </is>
      </c>
      <c r="F39" s="41" t="inlineStr">
        <is>
          <t>Yes</t>
        </is>
      </c>
      <c r="G39" s="41" t="inlineStr">
        <is>
          <t>No</t>
        </is>
      </c>
    </row>
    <row r="40" ht="18" customHeight="1" s="28">
      <c r="A40" s="39" t="inlineStr">
        <is>
          <t>258635160043</t>
        </is>
      </c>
      <c r="B40" s="50" t="inlineStr">
        <is>
          <t>CT8555 (Lot 31 Quaifes Park - 41 Cork Street, Halswell, Christchurch)</t>
        </is>
      </c>
      <c r="C40" s="39" t="inlineStr">
        <is>
          <t>CT8555</t>
        </is>
      </c>
      <c r="D40" s="39" t="inlineStr">
        <is>
          <t>Fraser Finlayson</t>
        </is>
      </c>
      <c r="E40" s="39" t="inlineStr">
        <is>
          <t>Interior Linings</t>
        </is>
      </c>
      <c r="F40" s="39" t="inlineStr">
        <is>
          <t>Yes</t>
        </is>
      </c>
      <c r="G40" s="39" t="inlineStr">
        <is>
          <t>No</t>
        </is>
      </c>
    </row>
    <row r="41" ht="18" customHeight="1" s="28">
      <c r="A41" s="41" t="inlineStr">
        <is>
          <t>258516061679</t>
        </is>
      </c>
      <c r="B41" s="51" t="inlineStr">
        <is>
          <t>CT8428 (Lot 13 Halswell Country Estates - 49 Podocarp Drive, Christchurch)</t>
        </is>
      </c>
      <c r="C41" s="41" t="inlineStr">
        <is>
          <t>CT8428</t>
        </is>
      </c>
      <c r="D41" s="41" t="inlineStr">
        <is>
          <t>Fraser Finlayson</t>
        </is>
      </c>
      <c r="E41" s="41" t="inlineStr">
        <is>
          <t>Customer Walkthrough &amp; Final Inspection</t>
        </is>
      </c>
      <c r="F41" s="41" t="inlineStr">
        <is>
          <t>Yes</t>
        </is>
      </c>
      <c r="G41" s="41" t="inlineStr">
        <is>
          <t>No</t>
        </is>
      </c>
    </row>
    <row r="42" ht="18" customHeight="1" s="28">
      <c r="A42" s="39" t="inlineStr">
        <is>
          <t>258644182483</t>
        </is>
      </c>
      <c r="B42" s="50" t="inlineStr">
        <is>
          <t>CT8427 (Lot 12 Halswell Country Estates - 47 Podocarp Drive, Christchurch)</t>
        </is>
      </c>
      <c r="C42" s="39" t="inlineStr">
        <is>
          <t>CT8427</t>
        </is>
      </c>
      <c r="D42" s="39" t="inlineStr">
        <is>
          <t>Fraser Finlayson</t>
        </is>
      </c>
      <c r="E42" s="39" t="inlineStr">
        <is>
          <t>Fixtures/Internal Fit Out</t>
        </is>
      </c>
      <c r="F42" s="39" t="inlineStr">
        <is>
          <t>Yes</t>
        </is>
      </c>
      <c r="G42" s="39" t="inlineStr">
        <is>
          <t>No</t>
        </is>
      </c>
    </row>
    <row r="43" ht="18" customHeight="1" s="28">
      <c r="A43" s="41" t="inlineStr">
        <is>
          <t>258644182482</t>
        </is>
      </c>
      <c r="B43" s="51" t="inlineStr">
        <is>
          <t>CT8426 (Lot 11 Halswell Country Estates - 45 Podocarp Drive, Christchurch)</t>
        </is>
      </c>
      <c r="C43" s="41" t="inlineStr">
        <is>
          <t>CT8426</t>
        </is>
      </c>
      <c r="D43" s="41" t="inlineStr">
        <is>
          <t>Fraser Finlayson</t>
        </is>
      </c>
      <c r="E43" s="41" t="inlineStr">
        <is>
          <t>Fixtures/Internal Fit Out</t>
        </is>
      </c>
      <c r="F43" s="41" t="inlineStr">
        <is>
          <t>Yes</t>
        </is>
      </c>
      <c r="G43" s="41" t="inlineStr">
        <is>
          <t>No</t>
        </is>
      </c>
    </row>
    <row r="44" ht="18" customHeight="1" s="28">
      <c r="A44" s="39" t="inlineStr">
        <is>
          <t>258635160042</t>
        </is>
      </c>
      <c r="B44" s="50" t="inlineStr">
        <is>
          <t>CT8204 (Lot 18 Te Whaiawa - 56 Te Whaiawa Crescent, West Melton)</t>
        </is>
      </c>
      <c r="C44" s="39" t="inlineStr">
        <is>
          <t>CT8204</t>
        </is>
      </c>
      <c r="D44" s="39" t="inlineStr">
        <is>
          <t>Fraser Finlayson</t>
        </is>
      </c>
      <c r="E44" s="39" t="inlineStr">
        <is>
          <t>Cladding On</t>
        </is>
      </c>
      <c r="F44" s="39" t="inlineStr">
        <is>
          <t>Yes</t>
        </is>
      </c>
      <c r="G44" s="39" t="inlineStr">
        <is>
          <t>No</t>
        </is>
      </c>
    </row>
    <row r="45" ht="18" customHeight="1" s="28">
      <c r="A45" s="41" t="inlineStr">
        <is>
          <t>258645991877</t>
        </is>
      </c>
      <c r="B45" s="51" t="inlineStr">
        <is>
          <t>CT8203 (Lot 17 Te Whaiawa - 58 Te Whaiawa Crescent, West Melton, Selwyn)</t>
        </is>
      </c>
      <c r="C45" s="41" t="inlineStr">
        <is>
          <t>CT8203</t>
        </is>
      </c>
      <c r="D45" s="41" t="inlineStr">
        <is>
          <t>Fraser Finlayson</t>
        </is>
      </c>
      <c r="E45" s="41" t="inlineStr">
        <is>
          <t>Interior Linings</t>
        </is>
      </c>
      <c r="F45" s="41" t="inlineStr">
        <is>
          <t>Yes</t>
        </is>
      </c>
      <c r="G45" s="41" t="inlineStr">
        <is>
          <t>No</t>
        </is>
      </c>
    </row>
    <row r="46" ht="18" customHeight="1" s="28">
      <c r="A46" s="39" t="inlineStr">
        <is>
          <t>258642366950</t>
        </is>
      </c>
      <c r="B46" s="50" t="inlineStr">
        <is>
          <t>CT8200 (Lot 14 Te Whaiawa - 64 Te Whaiawa Crescent, West Melton)</t>
        </is>
      </c>
      <c r="C46" s="39" t="inlineStr">
        <is>
          <t>CT8200</t>
        </is>
      </c>
      <c r="D46" s="39" t="inlineStr">
        <is>
          <t>Fraser Finlayson</t>
        </is>
      </c>
      <c r="E46" s="39" t="inlineStr">
        <is>
          <t>Interior Linings</t>
        </is>
      </c>
      <c r="F46" s="39" t="inlineStr">
        <is>
          <t>Yes</t>
        </is>
      </c>
      <c r="G46" s="39" t="inlineStr">
        <is>
          <t>No</t>
        </is>
      </c>
    </row>
    <row r="47" ht="18" customHeight="1" s="28">
      <c r="A47" s="41" t="inlineStr">
        <is>
          <t>258644182479</t>
        </is>
      </c>
      <c r="B47" s="51" t="inlineStr">
        <is>
          <t>CT8197 (Lot 9 Te Whaiawa - 74 Te Whaiawa Crescent, West Melton)</t>
        </is>
      </c>
      <c r="C47" s="41" t="inlineStr">
        <is>
          <t>CT8197</t>
        </is>
      </c>
      <c r="D47" s="41" t="inlineStr">
        <is>
          <t>Fraser Finlayson</t>
        </is>
      </c>
      <c r="E47" s="41" t="inlineStr">
        <is>
          <t>Painting &amp; Finishing</t>
        </is>
      </c>
      <c r="F47" s="41" t="inlineStr">
        <is>
          <t>Yes</t>
        </is>
      </c>
      <c r="G47" s="41" t="inlineStr">
        <is>
          <t>No</t>
        </is>
      </c>
    </row>
    <row r="48" ht="18" customHeight="1" s="28">
      <c r="A48" s="39" t="inlineStr">
        <is>
          <t>258516061676</t>
        </is>
      </c>
      <c r="B48" s="50" t="inlineStr">
        <is>
          <t>CT8196 (Lot 8 Te Whaiawa - 76 Te Whaiawa Crescent, West Melton)</t>
        </is>
      </c>
      <c r="C48" s="39" t="inlineStr">
        <is>
          <t>CT8196</t>
        </is>
      </c>
      <c r="D48" s="39" t="inlineStr">
        <is>
          <t>Fraser Finlayson</t>
        </is>
      </c>
      <c r="E48" s="39" t="inlineStr">
        <is>
          <t>Painting &amp; Finishing</t>
        </is>
      </c>
      <c r="F48" s="39" t="inlineStr">
        <is>
          <t>Yes</t>
        </is>
      </c>
      <c r="G48" s="39" t="inlineStr">
        <is>
          <t>No</t>
        </is>
      </c>
    </row>
    <row r="49" ht="18" customHeight="1" s="28">
      <c r="A49" s="41" t="inlineStr">
        <is>
          <t>258644177347</t>
        </is>
      </c>
      <c r="B49" s="51" t="inlineStr">
        <is>
          <t>CT8587 (Lot 16 Sabys Estate - 36 Matamoe Drive, Halswell)</t>
        </is>
      </c>
      <c r="C49" s="41" t="inlineStr">
        <is>
          <t>CT8587</t>
        </is>
      </c>
      <c r="D49" s="41" t="inlineStr">
        <is>
          <t>Fraser Finlayson</t>
        </is>
      </c>
      <c r="E49" s="41" t="inlineStr">
        <is>
          <t>Roof On</t>
        </is>
      </c>
      <c r="F49" s="41" t="inlineStr">
        <is>
          <t>Yes</t>
        </is>
      </c>
      <c r="G49" s="41" t="inlineStr">
        <is>
          <t>No</t>
        </is>
      </c>
    </row>
    <row r="50" ht="18" customHeight="1" s="28">
      <c r="A50" s="39" t="inlineStr">
        <is>
          <t>258644177346</t>
        </is>
      </c>
      <c r="B50" s="50" t="inlineStr">
        <is>
          <t>CT8555 (Lot 31 Quaifes Park - 41 Cork Street, Halswell, Christchurch)</t>
        </is>
      </c>
      <c r="C50" s="39" t="inlineStr">
        <is>
          <t>CT8555</t>
        </is>
      </c>
      <c r="D50" s="39" t="inlineStr">
        <is>
          <t>Fraser Finlayson</t>
        </is>
      </c>
      <c r="E50" s="39" t="inlineStr">
        <is>
          <t>Interior Linings</t>
        </is>
      </c>
      <c r="F50" s="39" t="inlineStr">
        <is>
          <t>Yes</t>
        </is>
      </c>
      <c r="G50" s="39" t="inlineStr">
        <is>
          <t>No</t>
        </is>
      </c>
    </row>
    <row r="51" ht="18" customHeight="1" s="28">
      <c r="A51" s="41" t="inlineStr">
        <is>
          <t>258638765540</t>
        </is>
      </c>
      <c r="B51" s="51" t="inlineStr">
        <is>
          <t>CT8428 (Lot 13 Halswell Country Estates - 49 Podocarp Drive, Christchurch)</t>
        </is>
      </c>
      <c r="C51" s="41" t="inlineStr">
        <is>
          <t>CT8428</t>
        </is>
      </c>
      <c r="D51" s="41" t="inlineStr">
        <is>
          <t>Fraser Finlayson</t>
        </is>
      </c>
      <c r="E51" s="41" t="inlineStr">
        <is>
          <t>Customer Walkthrough &amp; Final Inspection</t>
        </is>
      </c>
      <c r="F51" s="41" t="inlineStr">
        <is>
          <t>Yes</t>
        </is>
      </c>
      <c r="G51" s="41" t="inlineStr">
        <is>
          <t>No</t>
        </is>
      </c>
    </row>
    <row r="52" ht="18" customHeight="1" s="28">
      <c r="A52" s="39" t="inlineStr">
        <is>
          <t>258575416816</t>
        </is>
      </c>
      <c r="B52" s="50" t="inlineStr">
        <is>
          <t>CT8427 (Lot 12 Halswell Country Estates - 47 Podocarp Drive, Christchurch)</t>
        </is>
      </c>
      <c r="C52" s="39" t="inlineStr">
        <is>
          <t>CT8427</t>
        </is>
      </c>
      <c r="D52" s="39" t="inlineStr">
        <is>
          <t>Fraser Finlayson</t>
        </is>
      </c>
      <c r="E52" s="39" t="inlineStr">
        <is>
          <t>Fixtures/Internal Fit Out</t>
        </is>
      </c>
      <c r="F52" s="39" t="inlineStr">
        <is>
          <t>Yes</t>
        </is>
      </c>
      <c r="G52" s="39" t="inlineStr">
        <is>
          <t>No</t>
        </is>
      </c>
    </row>
    <row r="53" ht="18" customHeight="1" s="28">
      <c r="A53" s="41" t="inlineStr">
        <is>
          <t>258638765539</t>
        </is>
      </c>
      <c r="B53" s="51" t="inlineStr">
        <is>
          <t>CT8426 (Lot 11 Halswell Country Estates - 45 Podocarp Drive, Christchurch)</t>
        </is>
      </c>
      <c r="C53" s="41" t="inlineStr">
        <is>
          <t>CT8426</t>
        </is>
      </c>
      <c r="D53" s="41" t="inlineStr">
        <is>
          <t>Fraser Finlayson</t>
        </is>
      </c>
      <c r="E53" s="41" t="inlineStr">
        <is>
          <t>Fixtures/Internal Fit Out</t>
        </is>
      </c>
      <c r="F53" s="41" t="inlineStr">
        <is>
          <t>Yes</t>
        </is>
      </c>
      <c r="G53" s="41" t="inlineStr">
        <is>
          <t>No</t>
        </is>
      </c>
    </row>
    <row r="54" ht="18" customHeight="1" s="28">
      <c r="A54" s="39" t="inlineStr">
        <is>
          <t>258562787775</t>
        </is>
      </c>
      <c r="B54" s="50" t="inlineStr">
        <is>
          <t>CT8204 (Lot 18 Te Whaiawa - 56 Te Whaiawa Crescent, West Melton)</t>
        </is>
      </c>
      <c r="C54" s="39" t="inlineStr">
        <is>
          <t>CT8204</t>
        </is>
      </c>
      <c r="D54" s="39" t="inlineStr">
        <is>
          <t>Fraser Finlayson</t>
        </is>
      </c>
      <c r="E54" s="39" t="inlineStr">
        <is>
          <t>Cladding On</t>
        </is>
      </c>
      <c r="F54" s="39" t="inlineStr">
        <is>
          <t>Yes</t>
        </is>
      </c>
      <c r="G54" s="39" t="inlineStr">
        <is>
          <t>No</t>
        </is>
      </c>
    </row>
    <row r="55" ht="18" customHeight="1" s="28">
      <c r="A55" s="41" t="inlineStr">
        <is>
          <t>258635154881</t>
        </is>
      </c>
      <c r="B55" s="51" t="inlineStr">
        <is>
          <t>CT8203 (Lot 17 Te Whaiawa - 58 Te Whaiawa Crescent, West Melton, Selwyn)</t>
        </is>
      </c>
      <c r="C55" s="41" t="inlineStr">
        <is>
          <t>CT8203</t>
        </is>
      </c>
      <c r="D55" s="41" t="inlineStr">
        <is>
          <t>Fraser Finlayson</t>
        </is>
      </c>
      <c r="E55" s="41" t="inlineStr">
        <is>
          <t>Interior Linings</t>
        </is>
      </c>
      <c r="F55" s="41" t="inlineStr">
        <is>
          <t>Yes</t>
        </is>
      </c>
      <c r="G55" s="41" t="inlineStr">
        <is>
          <t>No</t>
        </is>
      </c>
    </row>
    <row r="56" ht="18" customHeight="1" s="28">
      <c r="A56" s="39" t="inlineStr">
        <is>
          <t>258644177345</t>
        </is>
      </c>
      <c r="B56" s="50" t="inlineStr">
        <is>
          <t>CT8200 (Lot 14 Te Whaiawa - 64 Te Whaiawa Crescent, West Melton)</t>
        </is>
      </c>
      <c r="C56" s="39" t="inlineStr">
        <is>
          <t>CT8200</t>
        </is>
      </c>
      <c r="D56" s="39" t="inlineStr">
        <is>
          <t>Fraser Finlayson</t>
        </is>
      </c>
      <c r="E56" s="39" t="inlineStr">
        <is>
          <t>Interior Linings</t>
        </is>
      </c>
      <c r="F56" s="39" t="inlineStr">
        <is>
          <t>Yes</t>
        </is>
      </c>
      <c r="G56" s="39" t="inlineStr">
        <is>
          <t>No</t>
        </is>
      </c>
    </row>
    <row r="57" ht="18" customHeight="1" s="28">
      <c r="A57" s="41" t="inlineStr">
        <is>
          <t>258645983696</t>
        </is>
      </c>
      <c r="B57" s="51" t="inlineStr">
        <is>
          <t>CT8197 (Lot 9 Te Whaiawa - 74 Te Whaiawa Crescent, West Melton)</t>
        </is>
      </c>
      <c r="C57" s="41" t="inlineStr">
        <is>
          <t>CT8197</t>
        </is>
      </c>
      <c r="D57" s="41" t="inlineStr">
        <is>
          <t>Fraser Finlayson</t>
        </is>
      </c>
      <c r="E57" s="41" t="inlineStr">
        <is>
          <t>Painting &amp; Finishing</t>
        </is>
      </c>
      <c r="F57" s="41" t="inlineStr">
        <is>
          <t>Yes</t>
        </is>
      </c>
      <c r="G57" s="41" t="inlineStr">
        <is>
          <t>No</t>
        </is>
      </c>
    </row>
    <row r="58" ht="18" customHeight="1" s="28">
      <c r="A58" s="39" t="inlineStr">
        <is>
          <t>258642361821</t>
        </is>
      </c>
      <c r="B58" s="50" t="inlineStr">
        <is>
          <t>CT8196 (Lot 8 Te Whaiawa - 76 Te Whaiawa Crescent, West Melton)</t>
        </is>
      </c>
      <c r="C58" s="39" t="inlineStr">
        <is>
          <t>CT8196</t>
        </is>
      </c>
      <c r="D58" s="39" t="inlineStr">
        <is>
          <t>Fraser Finlayson</t>
        </is>
      </c>
      <c r="E58" s="39" t="inlineStr">
        <is>
          <t>Painting &amp; Finishing</t>
        </is>
      </c>
      <c r="F58" s="39" t="inlineStr">
        <is>
          <t>Yes</t>
        </is>
      </c>
      <c r="G58" s="39" t="inlineStr">
        <is>
          <t>No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27" min="1" max="1"/>
    <col width="58" customWidth="1" style="27" min="2" max="2"/>
    <col width="14" customWidth="1" style="27" min="3" max="3"/>
    <col width="22" customWidth="1" style="27" min="4" max="4"/>
    <col width="34" customWidth="1" style="27" min="5" max="5"/>
    <col width="16" customWidth="1" style="27" min="6" max="6"/>
    <col width="10" customWidth="1" style="27" min="7" max="7"/>
    <col width="22" customWidth="1" style="27" min="8" max="8"/>
  </cols>
  <sheetData>
    <row r="1" ht="18" customHeight="1" s="28">
      <c r="A1" s="29" t="inlineStr">
        <is>
          <t>Has Customer — Missing Contact or Deal Association</t>
        </is>
      </c>
    </row>
    <row r="2" ht="18" customHeight="1" s="28">
      <c r="A2" s="45" t="inlineStr">
        <is>
          <t>These tickets are flagged 'Yes' for customer but have no Contact ID and/or no Deal ID in HubSpot. High data integrity risk.</t>
        </is>
      </c>
    </row>
    <row r="3" ht="18" customHeight="1" s="28"/>
    <row r="4" ht="18" customHeight="1" s="28">
      <c r="A4" s="38" t="inlineStr">
        <is>
          <t>Ticket ID</t>
        </is>
      </c>
      <c r="B4" s="38" t="inlineStr">
        <is>
          <t>Ticket Name</t>
        </is>
      </c>
      <c r="C4" s="38" t="inlineStr">
        <is>
          <t>Hummer Job #</t>
        </is>
      </c>
      <c r="D4" s="38" t="inlineStr">
        <is>
          <t>Owner</t>
        </is>
      </c>
      <c r="E4" s="38" t="inlineStr">
        <is>
          <t>Stage</t>
        </is>
      </c>
      <c r="F4" s="38" t="inlineStr">
        <is>
          <t>Contact Present</t>
        </is>
      </c>
      <c r="G4" s="38" t="inlineStr">
        <is>
          <t>Deal Present</t>
        </is>
      </c>
      <c r="H4" s="38" t="inlineStr">
        <is>
          <t>Issue</t>
        </is>
      </c>
    </row>
    <row r="5" ht="18" customHeight="1" s="28">
      <c r="A5" s="48" t="inlineStr">
        <is>
          <t>258566393312</t>
        </is>
      </c>
      <c r="B5" s="49" t="inlineStr">
        <is>
          <t>CT8409 (Lot 3 Highsted - 70 Flaxmill Road, Casebrook)</t>
        </is>
      </c>
      <c r="C5" s="48" t="inlineStr">
        <is>
          <t>CT8409</t>
        </is>
      </c>
      <c r="D5" s="48" t="inlineStr">
        <is>
          <t>Killian O'Neill</t>
        </is>
      </c>
      <c r="E5" s="48" t="inlineStr">
        <is>
          <t>Cladding On</t>
        </is>
      </c>
      <c r="F5" s="48" t="inlineStr">
        <is>
          <t>NO</t>
        </is>
      </c>
      <c r="G5" s="48" t="inlineStr">
        <is>
          <t>NO</t>
        </is>
      </c>
      <c r="H5" s="48" t="inlineStr">
        <is>
          <t>Missing Contact + Deal</t>
        </is>
      </c>
    </row>
    <row r="6" ht="18" customHeight="1" s="28">
      <c r="A6" s="48" t="inlineStr">
        <is>
          <t>258564590017</t>
        </is>
      </c>
      <c r="B6" s="49" t="inlineStr">
        <is>
          <t>CT8170 (Lot 130 Prestons Grove - 40 Padstow Loop, Marshland, Christchurch)</t>
        </is>
      </c>
      <c r="C6" s="48" t="inlineStr">
        <is>
          <t>CT8170</t>
        </is>
      </c>
      <c r="D6" s="48" t="inlineStr">
        <is>
          <t>Andrew Scott</t>
        </is>
      </c>
      <c r="E6" s="48" t="inlineStr">
        <is>
          <t>Foundations / Slab Poured</t>
        </is>
      </c>
      <c r="F6" s="48" t="inlineStr">
        <is>
          <t>NO</t>
        </is>
      </c>
      <c r="G6" s="48" t="inlineStr">
        <is>
          <t>NO</t>
        </is>
      </c>
      <c r="H6" s="48" t="inlineStr">
        <is>
          <t>Missing Contact + Deal</t>
        </is>
      </c>
    </row>
    <row r="7" ht="18" customHeight="1" s="28">
      <c r="A7" s="48" t="inlineStr">
        <is>
          <t>258577271280</t>
        </is>
      </c>
      <c r="B7" s="49" t="inlineStr">
        <is>
          <t>CT8002 (Lot 51 Hampton Grove - 33 Northampton Drive, Prebbleton)</t>
        </is>
      </c>
      <c r="C7" s="48" t="inlineStr">
        <is>
          <t>CT8002</t>
        </is>
      </c>
      <c r="D7" s="48" t="inlineStr">
        <is>
          <t>Andrew Scott</t>
        </is>
      </c>
      <c r="E7" s="48" t="inlineStr">
        <is>
          <t>Painting &amp; Finishing</t>
        </is>
      </c>
      <c r="F7" s="48" t="inlineStr">
        <is>
          <t>NO</t>
        </is>
      </c>
      <c r="G7" s="48" t="inlineStr">
        <is>
          <t>NO</t>
        </is>
      </c>
      <c r="H7" s="48" t="inlineStr">
        <is>
          <t>Missing Contact + Deal</t>
        </is>
      </c>
    </row>
    <row r="8" ht="18" customHeight="1" s="28">
      <c r="A8" s="52" t="inlineStr">
        <is>
          <t>258705227245</t>
        </is>
      </c>
      <c r="B8" s="53" t="inlineStr">
        <is>
          <t>CT8280 (Lot 91 Wilfield - 71 Ridgeland Way, West Melton)</t>
        </is>
      </c>
      <c r="C8" s="52" t="inlineStr">
        <is>
          <t>CT8280</t>
        </is>
      </c>
      <c r="D8" s="52" t="inlineStr">
        <is>
          <t>Corey Flynn</t>
        </is>
      </c>
      <c r="E8" s="52" t="inlineStr">
        <is>
          <t>Interior Linings</t>
        </is>
      </c>
      <c r="F8" s="52" t="inlineStr">
        <is>
          <t>NO</t>
        </is>
      </c>
      <c r="G8" s="52" t="inlineStr">
        <is>
          <t>Yes</t>
        </is>
      </c>
      <c r="H8" s="52" t="inlineStr">
        <is>
          <t>Missing Contact</t>
        </is>
      </c>
    </row>
    <row r="9" ht="18" customHeight="1" s="28">
      <c r="A9" s="48" t="inlineStr">
        <is>
          <t>258541256156</t>
        </is>
      </c>
      <c r="B9" s="49" t="inlineStr">
        <is>
          <t>CT8617 (Lot 17 Halswell Country Estates - 20 Podocarp Drive, Halswell)</t>
        </is>
      </c>
      <c r="C9" s="48" t="inlineStr">
        <is>
          <t>CT8617</t>
        </is>
      </c>
      <c r="D9" s="48" t="inlineStr">
        <is>
          <t>Fraser Finlayson</t>
        </is>
      </c>
      <c r="E9" s="48" t="inlineStr">
        <is>
          <t>WD Submitted to Council</t>
        </is>
      </c>
      <c r="F9" s="48" t="inlineStr">
        <is>
          <t>NO</t>
        </is>
      </c>
      <c r="G9" s="48" t="inlineStr">
        <is>
          <t>NO</t>
        </is>
      </c>
      <c r="H9" s="48" t="inlineStr">
        <is>
          <t>Missing Contact + Deal</t>
        </is>
      </c>
    </row>
    <row r="10" ht="18" customHeight="1" s="28">
      <c r="A10" s="48" t="inlineStr">
        <is>
          <t>258544874996</t>
        </is>
      </c>
      <c r="B10" s="49" t="inlineStr">
        <is>
          <t>CT8554 (Lot 30 Quaifes Park - 39 Cork Street, Halswell, Christchurch)</t>
        </is>
      </c>
      <c r="C10" s="48" t="inlineStr">
        <is>
          <t>CT8554</t>
        </is>
      </c>
      <c r="D10" s="48" t="inlineStr">
        <is>
          <t>Fraser Finlayson</t>
        </is>
      </c>
      <c r="E10" s="48" t="inlineStr">
        <is>
          <t>Interior Linings</t>
        </is>
      </c>
      <c r="F10" s="48" t="inlineStr">
        <is>
          <t>NO</t>
        </is>
      </c>
      <c r="G10" s="48" t="inlineStr">
        <is>
          <t>NO</t>
        </is>
      </c>
      <c r="H10" s="48" t="inlineStr">
        <is>
          <t>Missing Contact + Deal</t>
        </is>
      </c>
    </row>
    <row r="11" ht="18" customHeight="1" s="28">
      <c r="A11" s="48" t="inlineStr">
        <is>
          <t>258705226199</t>
        </is>
      </c>
      <c r="B11" s="49" t="inlineStr">
        <is>
          <t>CT8617 (Lot 17 Halswell Country Estates - 20 Podocarp Drive, Halswell)</t>
        </is>
      </c>
      <c r="C11" s="48" t="inlineStr">
        <is>
          <t>CT8617</t>
        </is>
      </c>
      <c r="D11" s="48" t="inlineStr">
        <is>
          <t>Fraser Finlayson</t>
        </is>
      </c>
      <c r="E11" s="48" t="inlineStr">
        <is>
          <t>WD Submitted to Council</t>
        </is>
      </c>
      <c r="F11" s="48" t="inlineStr">
        <is>
          <t>NO</t>
        </is>
      </c>
      <c r="G11" s="48" t="inlineStr">
        <is>
          <t>NO</t>
        </is>
      </c>
      <c r="H11" s="48" t="inlineStr">
        <is>
          <t>Missing Contact + Deal</t>
        </is>
      </c>
    </row>
    <row r="12" ht="18" customHeight="1" s="28">
      <c r="A12" s="48" t="inlineStr">
        <is>
          <t>258553798129</t>
        </is>
      </c>
      <c r="B12" s="49" t="inlineStr">
        <is>
          <t>CT8554 (Lot 30 Quaifes Park - 39 Cork Street, Halswell, Christchurch)</t>
        </is>
      </c>
      <c r="C12" s="48" t="inlineStr">
        <is>
          <t>CT8554</t>
        </is>
      </c>
      <c r="D12" s="48" t="inlineStr">
        <is>
          <t>Fraser Finlayson</t>
        </is>
      </c>
      <c r="E12" s="48" t="inlineStr">
        <is>
          <t>Interior Linings</t>
        </is>
      </c>
      <c r="F12" s="48" t="inlineStr">
        <is>
          <t>NO</t>
        </is>
      </c>
      <c r="G12" s="48" t="inlineStr">
        <is>
          <t>NO</t>
        </is>
      </c>
      <c r="H12" s="48" t="inlineStr">
        <is>
          <t>Missing Contact + Deal</t>
        </is>
      </c>
    </row>
    <row r="13" ht="18" customHeight="1" s="28">
      <c r="A13" s="48" t="inlineStr">
        <is>
          <t>258638765542</t>
        </is>
      </c>
      <c r="B13" s="49" t="inlineStr">
        <is>
          <t>CT8617 (Lot 17 Halswell Country Estates - 20 Podocarp Drive, Halswell)</t>
        </is>
      </c>
      <c r="C13" s="48" t="inlineStr">
        <is>
          <t>CT8617</t>
        </is>
      </c>
      <c r="D13" s="48" t="inlineStr">
        <is>
          <t>Fraser Finlayson</t>
        </is>
      </c>
      <c r="E13" s="48" t="inlineStr">
        <is>
          <t>WD Submitted to Council</t>
        </is>
      </c>
      <c r="F13" s="48" t="inlineStr">
        <is>
          <t>NO</t>
        </is>
      </c>
      <c r="G13" s="48" t="inlineStr">
        <is>
          <t>NO</t>
        </is>
      </c>
      <c r="H13" s="48" t="inlineStr">
        <is>
          <t>Missing Contact + Deal</t>
        </is>
      </c>
    </row>
    <row r="14" ht="18" customHeight="1" s="28">
      <c r="A14" s="48" t="inlineStr">
        <is>
          <t>258562787776</t>
        </is>
      </c>
      <c r="B14" s="49" t="inlineStr">
        <is>
          <t>CT8554 (Lot 30 Quaifes Park - 39 Cork Street, Halswell, Christchurch)</t>
        </is>
      </c>
      <c r="C14" s="48" t="inlineStr">
        <is>
          <t>CT8554</t>
        </is>
      </c>
      <c r="D14" s="48" t="inlineStr">
        <is>
          <t>Fraser Finlayson</t>
        </is>
      </c>
      <c r="E14" s="48" t="inlineStr">
        <is>
          <t>Interior Linings</t>
        </is>
      </c>
      <c r="F14" s="48" t="inlineStr">
        <is>
          <t>NO</t>
        </is>
      </c>
      <c r="G14" s="48" t="inlineStr">
        <is>
          <t>NO</t>
        </is>
      </c>
      <c r="H14" s="48" t="inlineStr">
        <is>
          <t>Missing Contact + Deal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2026-06-06T07:41:39Z</dcterms:created>
  <dcterms:modified xmlns:dcterms="http://purl.org/dc/terms/" xmlns:xsi="http://www.w3.org/2001/XMLSchema-instance" xsi:type="dcterms:W3CDTF">2026-06-06T07:47:57Z</dcterms:modified>
  <cp:revision>0</cp:revision>
</cp:coreProperties>
</file>