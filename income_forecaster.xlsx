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Forecast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<sst xmlns="http://schemas.openxmlformats.org/spreadsheetml/2006/main" count="76" uniqueCount="72">
  <si>
    <t xml:space="preserve">Income Forecaster — Chance Peare</t>
  </si>
  <si>
    <t xml:space="preserve">Horizon: June 2026 – May 2027 | Built: May 29, 2026 | Pessimistic per Framework OPS standard</t>
  </si>
  <si>
    <t xml:space="preserve">INPUT ASSUMPTIONS</t>
  </si>
  <si>
    <t xml:space="preserve">Skyright W2 (monthly gross)</t>
  </si>
  <si>
    <t xml:space="preserve">Stable W2. Tax handled by employer withholding.</t>
  </si>
  <si>
    <t xml:space="preserve">Carlos retainer — June ramp</t>
  </si>
  <si>
    <t xml:space="preserve">Half month / partial scope per user input.</t>
  </si>
  <si>
    <t xml:space="preserve">Carlos retainer — Jul onward (monthly)</t>
  </si>
  <si>
    <t xml:space="preserve">Full retainer starts July.</t>
  </si>
  <si>
    <t xml:space="preserve">Daniel + Upwork variable (monthly est)</t>
  </si>
  <si>
    <t xml:space="preserve">Project-based. Lumpy in reality — assume as monthly avg.</t>
  </si>
  <si>
    <t xml:space="preserve">SCENARIO HAIRCUTS</t>
  </si>
  <si>
    <t xml:space="preserve">Downside: Carlos churn month (set 0 to disable)</t>
  </si>
  <si>
    <t xml:space="preserve">Month # Carlos drops off (1=Jun26, 12=May27). Pessimistic default = month 10.</t>
  </si>
  <si>
    <t xml:space="preserve">Downside: Variable work haircut %</t>
  </si>
  <si>
    <t xml:space="preserve">Discount applied to Daniel/Upwork in downside scenario.</t>
  </si>
  <si>
    <t xml:space="preserve">Downside: Skyright continuity</t>
  </si>
  <si>
    <t xml:space="preserve">1.00 = stays. Drop to model W2 risk.</t>
  </si>
  <si>
    <t xml:space="preserve">Upside: Variable work uplift %</t>
  </si>
  <si>
    <t xml:space="preserve">Modest uplift on Daniel/Upwork in upside.</t>
  </si>
  <si>
    <t xml:space="preserve">COLOR KEY</t>
  </si>
  <si>
    <t xml:space="preserve">Blue text</t>
  </si>
  <si>
    <t xml:space="preserve">Hardcoded input — change these</t>
  </si>
  <si>
    <t xml:space="preserve">Black text</t>
  </si>
  <si>
    <t xml:space="preserve">Formula / calculation — do not edit</t>
  </si>
  <si>
    <t xml:space="preserve">Yellow fill</t>
  </si>
  <si>
    <t xml:space="preserve">Key assumption — sanity-check before relying on output</t>
  </si>
  <si>
    <t xml:space="preserve">12-Month Income Forecast</t>
  </si>
  <si>
    <t xml:space="preserve">Source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</si>
  <si>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</si>
  <si>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</si>
  <si>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</si>
  <si>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</si>
  <si>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</si>
  <si>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</si>
  <si>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</si>
  <si>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</si>
  <si>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</si>
  <si>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</si>
  <si>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</si>
  <si>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</si>
  <si>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Total</t>
  </si>
  <si>
    <t xml:space="preserve">Avg/mo</t>
  </si>
  <si>
    <t xml:space="preserve">BASE SCENARIO</t>
  </si>
  <si>
    <t xml:space="preserve">Skyright W2</t>
  </si>
  <si>
    <t xml:space="preserve">Carlos</t>
  </si>
  <si>
    <t xml:space="preserve">Daniel + Upwork (variable)</t>
  </si>
  <si>
    <t xml:space="preserve">Base Total</t>
  </si>
  <si>
    <t xml:space="preserve">DOWNSIDE SCENARIO (pessimistic)</t>
  </si>
  <si>
    <t xml:space="preserve">Skyright W2 × continuity</t>
  </si>
  <si>
    <t xml:space="preserve">Carlos × churn risk</t>
  </si>
  <si>
    <t xml:space="preserve">Daniel + Upwork × (1 − haircut)</t>
  </si>
  <si>
    <t xml:space="preserve">Downside Total</t>
  </si>
  <si>
    <t xml:space="preserve">UPSIDE SCENARIO</t>
  </si>
  <si>
    <t xml:space="preserve">Carlos (full)</t>
  </si>
  <si>
    <t xml:space="preserve">Daniel + Upwork × (1 + uplift)</t>
  </si>
  <si>
    <t xml:space="preserve">Upside Total</t>
  </si>
  <si>
    <t xml:space="preserve">Forecast Summary</t>
  </si>
  <si>
    <t xml:space="preserve">Scenario</t>
  </si>
  <si>
    <t xml:space="preserve">12-Mo Total</t>
  </si>
  <si>
    <t xml:space="preserve">Avg / Month</t>
  </si>
  <si>
    <t xml:space="preserve">Base</t>
  </si>
  <si>
    <t xml:space="preserve">Downside (pessimistic)</t>
  </si>
  <si>
    <t xml:space="preserve">Upside</t>
  </si>
  <si>
    <t xml:space="preserve">Composition (Base, Year 1)</t>
  </si>
  <si>
    <t xml:space="preserve">Daniel + Upwork</t>
  </si>
  <si>
    <t xml:space="preserve">Key takeaways</t>
  </si>
  <si>
    <t xml:space="preserve">• Skyright W2 is the foundation — single biggest concentration risk if it goes away.</t>
  </si>
  <si>
    <t xml:space="preserve">• Variable work ($2K Daniel/Upwork) is the most fragile line — it is an assumption, not a contract.</t>
  </si>
  <si>
    <t xml:space="preserve">• Carlos churn risk modeled at month 10. Edit Assumptions!B13 to test other timelines.</t>
  </si>
  <si>
    <t xml:space="preserve">• Downside assumes Carlos drops, variable work halves, W2 holds. Adjust to stress-test deeper.</t>
  </si>
  <si>
    <t xml:space="preserve">• All numbers are gross. Self-employment tax (~15.3%) + income tax not modeled — net is materially lower.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</si>
</sst>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E2EFDA"/>
      </patternFill>
    </fill>
    <fill>
      <patternFill patternType="solid">
        <fgColor rgb="FFDDEBF7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v>8000</v>
      </c>
      <c r="C5" s="6" t="s">
        <v>4</v>
      </c>
    </row>
    <row r="6" customFormat="false" ht="15" hidden="false" customHeight="false" outlineLevel="0" collapsed="false">
      <c r="A6" s="4" t="s">
        <v>5</v>
      </c>
      <c r="B6" s="5" t="n">
        <v>1500</v>
      </c>
      <c r="C6" s="6" t="s">
        <v>6</v>
      </c>
    </row>
    <row r="7" customFormat="false" ht="15" hidden="false" customHeight="false" outlineLevel="0" collapsed="false">
      <c r="A7" s="4" t="s">
        <v>7</v>
      </c>
      <c r="B7" s="5" t="n">
        <v>3000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v>2000</v>
      </c>
      <c r="C8" s="6" t="s">
        <v>10</v>
      </c>
    </row>
    <row r="9" customFormat="false" ht="15" hidden="false" customHeight="false" outlineLevel="0" collapsed="false">
      <c r="A9" s="7"/>
    </row>
    <row r="10" customFormat="false" ht="15" hidden="false" customHeight="false" outlineLevel="0" collapsed="false">
      <c r="A10" s="3" t="s">
        <v>11</v>
      </c>
      <c r="B10" s="3"/>
      <c r="C10" s="3"/>
      <c r="D10" s="3"/>
    </row>
    <row r="11" customFormat="false" ht="15" hidden="false" customHeight="false" outlineLevel="0" collapsed="false">
      <c r="A11" s="4" t="s">
        <v>12</v>
      </c>
      <c r="B11" s="8" t="n">
        <v>10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9" t="n">
        <v>0.5</v>
      </c>
      <c r="C12" s="6" t="s">
        <v>15</v>
      </c>
    </row>
    <row r="13" customFormat="false" ht="15" hidden="false" customHeight="false" outlineLevel="0" collapsed="false">
      <c r="A13" s="4" t="s">
        <v>16</v>
      </c>
      <c r="B13" s="9" t="n">
        <v>1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9" t="n">
        <v>0.25</v>
      </c>
      <c r="C14" s="6" t="s">
        <v>19</v>
      </c>
    </row>
    <row r="17" customFormat="false" ht="15" hidden="false" customHeight="false" outlineLevel="0" collapsed="false">
      <c r="A17" s="3" t="s">
        <v>20</v>
      </c>
      <c r="B17" s="3"/>
      <c r="C17" s="3"/>
      <c r="D17" s="3"/>
    </row>
    <row r="18" customFormat="false" ht="15" hidden="false" customHeight="false" outlineLevel="0" collapsed="false">
      <c r="A18" s="10" t="s">
        <v>21</v>
      </c>
      <c r="B18" s="0" t="s">
        <v>22</v>
      </c>
    </row>
    <row r="19" customFormat="false" ht="15" hidden="false" customHeight="false" outlineLevel="0" collapsed="false">
      <c r="A19" s="11" t="s">
        <v>23</v>
      </c>
      <c r="B19" s="0" t="s">
        <v>24</v>
      </c>
    </row>
    <row r="20" customFormat="false" ht="15" hidden="false" customHeight="false" outlineLevel="0" collapsed="false">
      <c r="A20" s="12" t="s">
        <v>25</v>
      </c>
      <c r="B20" s="0" t="s">
        <v>26</v>
      </c>
    </row>
  </sheetData>
  <mergeCells count="5">
    <mergeCell ref="A1:D1"/>
    <mergeCell ref="A2:D2"/>
    <mergeCell ref="A4:D4"/>
    <mergeCell ref="A10:D10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5" min="2" style="0" width="11"/>
  </cols>
  <sheetData>
    <row r="1" customFormat="false" ht="17.35" hidden="false" customHeight="false" outlineLevel="0" collapsed="false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customFormat="false" ht="15" hidden="false" customHeight="false" outlineLevel="0" collapsed="false">
      <c r="A3" s="13" t="s">
        <v>28</v>
      </c>
      <c r="B3" s="14" t="s">
        <v>29</v>
      </c>
      <c r="C3" s="14" t="s">
        <v>30</v>
      </c>
      <c r="D3" s="14" t="s">
        <v>31</v>
      </c>
      <c r="E3" s="14" t="s">
        <v>32</v>
      </c>
      <c r="F3" s="14" t="s">
        <v>33</v>
      </c>
      <c r="G3" s="14" t="s">
        <v>34</v>
      </c>
      <c r="H3" s="14" t="s">
        <v>35</v>
      </c>
      <c r="I3" s="14" t="s">
        <v>36</v>
      </c>
      <c r="J3" s="14" t="s">
        <v>37</v>
      </c>
      <c r="K3" s="14" t="s">
        <v>38</v>
      </c>
      <c r="L3" s="14" t="s">
        <v>39</v>
      </c>
      <c r="M3" s="14" t="s">
        <v>40</v>
      </c>
      <c r="N3" s="14" t="s">
        <v>41</v>
      </c>
      <c r="O3" s="14" t="s">
        <v>42</v>
      </c>
    </row>
    <row r="4" customFormat="false" ht="15" hidden="false" customHeight="false" outlineLevel="0" collapsed="false">
      <c r="A4" s="3" t="s">
        <v>43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customFormat="false" ht="15" hidden="false" customHeight="false" outlineLevel="0" collapsed="false">
      <c r="A5" s="0" t="s">
        <v>44</v>
      </c>
      <c r="B5" s="15" t="n">
        <f aca="false">Assumptions!$B$5</f>
        <v>8000</v>
      </c>
      <c r="C5" s="15" t="n">
        <f aca="false">Assumptions!$B$5</f>
        <v>8000</v>
      </c>
      <c r="D5" s="15" t="n">
        <f aca="false">Assumptions!$B$5</f>
        <v>8000</v>
      </c>
      <c r="E5" s="15" t="n">
        <f aca="false">Assumptions!$B$5</f>
        <v>8000</v>
      </c>
      <c r="F5" s="15" t="n">
        <f aca="false">Assumptions!$B$5</f>
        <v>8000</v>
      </c>
      <c r="G5" s="15" t="n">
        <f aca="false">Assumptions!$B$5</f>
        <v>8000</v>
      </c>
      <c r="H5" s="15" t="n">
        <f aca="false">Assumptions!$B$5</f>
        <v>8000</v>
      </c>
      <c r="I5" s="15" t="n">
        <f aca="false">Assumptions!$B$5</f>
        <v>8000</v>
      </c>
      <c r="J5" s="15" t="n">
        <f aca="false">Assumptions!$B$5</f>
        <v>8000</v>
      </c>
      <c r="K5" s="15" t="n">
        <f aca="false">Assumptions!$B$5</f>
        <v>8000</v>
      </c>
      <c r="L5" s="15" t="n">
        <f aca="false">Assumptions!$B$5</f>
        <v>8000</v>
      </c>
      <c r="M5" s="15" t="n">
        <f aca="false">Assumptions!$B$5</f>
        <v>8000</v>
      </c>
      <c r="N5" s="15" t="n">
        <f aca="false">SUM(B5:M5)</f>
        <v>96000</v>
      </c>
      <c r="O5" s="15" t="n">
        <f aca="false">AVERAGE(B5:M5)</f>
        <v>8000</v>
      </c>
    </row>
    <row r="6" customFormat="false" ht="15" hidden="false" customHeight="false" outlineLevel="0" collapsed="false">
      <c r="A6" s="0" t="s">
        <v>45</v>
      </c>
      <c r="B6" s="15" t="n">
        <f aca="false">Assumptions!$B$6</f>
        <v>1500</v>
      </c>
      <c r="C6" s="15" t="n">
        <f aca="false">Assumptions!$B$7</f>
        <v>3000</v>
      </c>
      <c r="D6" s="15" t="n">
        <f aca="false">Assumptions!$B$7</f>
        <v>3000</v>
      </c>
      <c r="E6" s="15" t="n">
        <f aca="false">Assumptions!$B$7</f>
        <v>3000</v>
      </c>
      <c r="F6" s="15" t="n">
        <f aca="false">Assumptions!$B$7</f>
        <v>3000</v>
      </c>
      <c r="G6" s="15" t="n">
        <f aca="false">Assumptions!$B$7</f>
        <v>3000</v>
      </c>
      <c r="H6" s="15" t="n">
        <f aca="false">Assumptions!$B$7</f>
        <v>3000</v>
      </c>
      <c r="I6" s="15" t="n">
        <f aca="false">Assumptions!$B$7</f>
        <v>3000</v>
      </c>
      <c r="J6" s="15" t="n">
        <f aca="false">Assumptions!$B$7</f>
        <v>3000</v>
      </c>
      <c r="K6" s="15" t="n">
        <f aca="false">Assumptions!$B$7</f>
        <v>3000</v>
      </c>
      <c r="L6" s="15" t="n">
        <f aca="false">Assumptions!$B$7</f>
        <v>3000</v>
      </c>
      <c r="M6" s="15" t="n">
        <f aca="false">Assumptions!$B$7</f>
        <v>3000</v>
      </c>
      <c r="N6" s="15" t="n">
        <f aca="false">SUM(B6:M6)</f>
        <v>34500</v>
      </c>
      <c r="O6" s="15" t="n">
        <f aca="false">AVERAGE(B6:M6)</f>
        <v>2875</v>
      </c>
    </row>
    <row r="7" customFormat="false" ht="15" hidden="false" customHeight="false" outlineLevel="0" collapsed="false">
      <c r="A7" s="0" t="s">
        <v>46</v>
      </c>
      <c r="B7" s="15" t="n">
        <f aca="false">Assumptions!$B$8</f>
        <v>2000</v>
      </c>
      <c r="C7" s="15" t="n">
        <f aca="false">Assumptions!$B$8</f>
        <v>2000</v>
      </c>
      <c r="D7" s="15" t="n">
        <f aca="false">Assumptions!$B$8</f>
        <v>2000</v>
      </c>
      <c r="E7" s="15" t="n">
        <f aca="false">Assumptions!$B$8</f>
        <v>2000</v>
      </c>
      <c r="F7" s="15" t="n">
        <f aca="false">Assumptions!$B$8</f>
        <v>2000</v>
      </c>
      <c r="G7" s="15" t="n">
        <f aca="false">Assumptions!$B$8</f>
        <v>2000</v>
      </c>
      <c r="H7" s="15" t="n">
        <f aca="false">Assumptions!$B$8</f>
        <v>2000</v>
      </c>
      <c r="I7" s="15" t="n">
        <f aca="false">Assumptions!$B$8</f>
        <v>2000</v>
      </c>
      <c r="J7" s="15" t="n">
        <f aca="false">Assumptions!$B$8</f>
        <v>2000</v>
      </c>
      <c r="K7" s="15" t="n">
        <f aca="false">Assumptions!$B$8</f>
        <v>2000</v>
      </c>
      <c r="L7" s="15" t="n">
        <f aca="false">Assumptions!$B$8</f>
        <v>2000</v>
      </c>
      <c r="M7" s="15" t="n">
        <f aca="false">Assumptions!$B$8</f>
        <v>2000</v>
      </c>
      <c r="N7" s="15" t="n">
        <f aca="false">SUM(B7:M7)</f>
        <v>24000</v>
      </c>
      <c r="O7" s="15" t="n">
        <f aca="false">AVERAGE(B7:M7)</f>
        <v>2000</v>
      </c>
    </row>
    <row r="8" customFormat="false" ht="15" hidden="false" customHeight="false" outlineLevel="0" collapsed="false">
      <c r="A8" s="7" t="s">
        <v>47</v>
      </c>
      <c r="B8" s="16" t="n">
        <f aca="false">SUM(B5:B7)</f>
        <v>11500</v>
      </c>
      <c r="C8" s="16" t="n">
        <f aca="false">SUM(C5:C7)</f>
        <v>13000</v>
      </c>
      <c r="D8" s="16" t="n">
        <f aca="false">SUM(D5:D7)</f>
        <v>13000</v>
      </c>
      <c r="E8" s="16" t="n">
        <f aca="false">SUM(E5:E7)</f>
        <v>13000</v>
      </c>
      <c r="F8" s="16" t="n">
        <f aca="false">SUM(F5:F7)</f>
        <v>13000</v>
      </c>
      <c r="G8" s="16" t="n">
        <f aca="false">SUM(G5:G7)</f>
        <v>13000</v>
      </c>
      <c r="H8" s="16" t="n">
        <f aca="false">SUM(H5:H7)</f>
        <v>13000</v>
      </c>
      <c r="I8" s="16" t="n">
        <f aca="false">SUM(I5:I7)</f>
        <v>13000</v>
      </c>
      <c r="J8" s="16" t="n">
        <f aca="false">SUM(J5:J7)</f>
        <v>13000</v>
      </c>
      <c r="K8" s="16" t="n">
        <f aca="false">SUM(K5:K7)</f>
        <v>13000</v>
      </c>
      <c r="L8" s="16" t="n">
        <f aca="false">SUM(L5:L7)</f>
        <v>13000</v>
      </c>
      <c r="M8" s="16" t="n">
        <f aca="false">SUM(M5:M7)</f>
        <v>13000</v>
      </c>
      <c r="N8" s="16" t="n">
        <f aca="false">SUM(B8:M8)</f>
        <v>154500</v>
      </c>
      <c r="O8" s="16" t="n">
        <f aca="false">AVERAGE(B8:M8)</f>
        <v>12875</v>
      </c>
    </row>
    <row r="10" customFormat="false" ht="15" hidden="false" customHeight="false" outlineLevel="0" collapsed="false">
      <c r="A10" s="3" t="s">
        <v>48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customFormat="false" ht="15" hidden="false" customHeight="false" outlineLevel="0" collapsed="false">
      <c r="A11" s="0" t="s">
        <v>49</v>
      </c>
      <c r="B11" s="15" t="n">
        <f aca="false">Assumptions!$B$5*Assumptions!$B$13</f>
        <v>8000</v>
      </c>
      <c r="C11" s="15" t="n">
        <f aca="false">Assumptions!$B$5*Assumptions!$B$13</f>
        <v>8000</v>
      </c>
      <c r="D11" s="15" t="n">
        <f aca="false">Assumptions!$B$5*Assumptions!$B$13</f>
        <v>8000</v>
      </c>
      <c r="E11" s="15" t="n">
        <f aca="false">Assumptions!$B$5*Assumptions!$B$13</f>
        <v>8000</v>
      </c>
      <c r="F11" s="15" t="n">
        <f aca="false">Assumptions!$B$5*Assumptions!$B$13</f>
        <v>8000</v>
      </c>
      <c r="G11" s="15" t="n">
        <f aca="false">Assumptions!$B$5*Assumptions!$B$13</f>
        <v>8000</v>
      </c>
      <c r="H11" s="15" t="n">
        <f aca="false">Assumptions!$B$5*Assumptions!$B$13</f>
        <v>8000</v>
      </c>
      <c r="I11" s="15" t="n">
        <f aca="false">Assumptions!$B$5*Assumptions!$B$13</f>
        <v>8000</v>
      </c>
      <c r="J11" s="15" t="n">
        <f aca="false">Assumptions!$B$5*Assumptions!$B$13</f>
        <v>8000</v>
      </c>
      <c r="K11" s="15" t="n">
        <f aca="false">Assumptions!$B$5*Assumptions!$B$13</f>
        <v>8000</v>
      </c>
      <c r="L11" s="15" t="n">
        <f aca="false">Assumptions!$B$5*Assumptions!$B$13</f>
        <v>8000</v>
      </c>
      <c r="M11" s="15" t="n">
        <f aca="false">Assumptions!$B$5*Assumptions!$B$13</f>
        <v>8000</v>
      </c>
      <c r="N11" s="15" t="n">
        <f aca="false">SUM(B11:M11)</f>
        <v>96000</v>
      </c>
      <c r="O11" s="15" t="n">
        <f aca="false">AVERAGE(B11:M11)</f>
        <v>8000</v>
      </c>
    </row>
    <row r="12" customFormat="false" ht="15" hidden="false" customHeight="false" outlineLevel="0" collapsed="false">
      <c r="A12" s="0" t="s">
        <v>50</v>
      </c>
      <c r="B12" s="15" t="n">
        <f aca="false">IF(1&lt;Assumptions!$B$11,Assumptions!$B$6,0)</f>
        <v>1500</v>
      </c>
      <c r="C12" s="15" t="n">
        <f aca="false">IF(2&lt;Assumptions!$B$11,Assumptions!$B$7,0)</f>
        <v>3000</v>
      </c>
      <c r="D12" s="15" t="n">
        <f aca="false">IF(3&lt;Assumptions!$B$11,Assumptions!$B$7,0)</f>
        <v>3000</v>
      </c>
      <c r="E12" s="15" t="n">
        <f aca="false">IF(4&lt;Assumptions!$B$11,Assumptions!$B$7,0)</f>
        <v>3000</v>
      </c>
      <c r="F12" s="15" t="n">
        <f aca="false">IF(5&lt;Assumptions!$B$11,Assumptions!$B$7,0)</f>
        <v>3000</v>
      </c>
      <c r="G12" s="15" t="n">
        <f aca="false">IF(6&lt;Assumptions!$B$11,Assumptions!$B$7,0)</f>
        <v>3000</v>
      </c>
      <c r="H12" s="15" t="n">
        <f aca="false">IF(7&lt;Assumptions!$B$11,Assumptions!$B$7,0)</f>
        <v>3000</v>
      </c>
      <c r="I12" s="15" t="n">
        <f aca="false">IF(8&lt;Assumptions!$B$11,Assumptions!$B$7,0)</f>
        <v>3000</v>
      </c>
      <c r="J12" s="15" t="n">
        <f aca="false">IF(9&lt;Assumptions!$B$11,Assumptions!$B$7,0)</f>
        <v>3000</v>
      </c>
      <c r="K12" s="15" t="n">
        <f aca="false">IF(10&lt;Assumptions!$B$11,Assumptions!$B$7,0)</f>
        <v>0</v>
      </c>
      <c r="L12" s="15" t="n">
        <f aca="false">IF(11&lt;Assumptions!$B$11,Assumptions!$B$7,0)</f>
        <v>0</v>
      </c>
      <c r="M12" s="15" t="n">
        <f aca="false">IF(12&lt;Assumptions!$B$11,Assumptions!$B$7,0)</f>
        <v>0</v>
      </c>
      <c r="N12" s="15" t="n">
        <f aca="false">SUM(B12:M12)</f>
        <v>25500</v>
      </c>
      <c r="O12" s="15" t="n">
        <f aca="false">AVERAGE(B12:M12)</f>
        <v>2125</v>
      </c>
    </row>
    <row r="13" customFormat="false" ht="15" hidden="false" customHeight="false" outlineLevel="0" collapsed="false">
      <c r="A13" s="0" t="s">
        <v>51</v>
      </c>
      <c r="B13" s="15" t="n">
        <f aca="false">Assumptions!$B$8*(1-Assumptions!$B$12)</f>
        <v>1000</v>
      </c>
      <c r="C13" s="15" t="n">
        <f aca="false">Assumptions!$B$8*(1-Assumptions!$B$12)</f>
        <v>1000</v>
      </c>
      <c r="D13" s="15" t="n">
        <f aca="false">Assumptions!$B$8*(1-Assumptions!$B$12)</f>
        <v>1000</v>
      </c>
      <c r="E13" s="15" t="n">
        <f aca="false">Assumptions!$B$8*(1-Assumptions!$B$12)</f>
        <v>1000</v>
      </c>
      <c r="F13" s="15" t="n">
        <f aca="false">Assumptions!$B$8*(1-Assumptions!$B$12)</f>
        <v>1000</v>
      </c>
      <c r="G13" s="15" t="n">
        <f aca="false">Assumptions!$B$8*(1-Assumptions!$B$12)</f>
        <v>1000</v>
      </c>
      <c r="H13" s="15" t="n">
        <f aca="false">Assumptions!$B$8*(1-Assumptions!$B$12)</f>
        <v>1000</v>
      </c>
      <c r="I13" s="15" t="n">
        <f aca="false">Assumptions!$B$8*(1-Assumptions!$B$12)</f>
        <v>1000</v>
      </c>
      <c r="J13" s="15" t="n">
        <f aca="false">Assumptions!$B$8*(1-Assumptions!$B$12)</f>
        <v>1000</v>
      </c>
      <c r="K13" s="15" t="n">
        <f aca="false">Assumptions!$B$8*(1-Assumptions!$B$12)</f>
        <v>1000</v>
      </c>
      <c r="L13" s="15" t="n">
        <f aca="false">Assumptions!$B$8*(1-Assumptions!$B$12)</f>
        <v>1000</v>
      </c>
      <c r="M13" s="15" t="n">
        <f aca="false">Assumptions!$B$8*(1-Assumptions!$B$12)</f>
        <v>1000</v>
      </c>
      <c r="N13" s="15" t="n">
        <f aca="false">SUM(B13:M13)</f>
        <v>12000</v>
      </c>
      <c r="O13" s="15" t="n">
        <f aca="false">AVERAGE(B13:M13)</f>
        <v>1000</v>
      </c>
    </row>
    <row r="14" customFormat="false" ht="15" hidden="false" customHeight="false" outlineLevel="0" collapsed="false">
      <c r="A14" s="7" t="s">
        <v>52</v>
      </c>
      <c r="B14" s="17" t="n">
        <f aca="false">SUM(B11:B13)</f>
        <v>10500</v>
      </c>
      <c r="C14" s="17" t="n">
        <f aca="false">SUM(C11:C13)</f>
        <v>12000</v>
      </c>
      <c r="D14" s="17" t="n">
        <f aca="false">SUM(D11:D13)</f>
        <v>12000</v>
      </c>
      <c r="E14" s="17" t="n">
        <f aca="false">SUM(E11:E13)</f>
        <v>12000</v>
      </c>
      <c r="F14" s="17" t="n">
        <f aca="false">SUM(F11:F13)</f>
        <v>12000</v>
      </c>
      <c r="G14" s="17" t="n">
        <f aca="false">SUM(G11:G13)</f>
        <v>12000</v>
      </c>
      <c r="H14" s="17" t="n">
        <f aca="false">SUM(H11:H13)</f>
        <v>12000</v>
      </c>
      <c r="I14" s="17" t="n">
        <f aca="false">SUM(I11:I13)</f>
        <v>12000</v>
      </c>
      <c r="J14" s="17" t="n">
        <f aca="false">SUM(J11:J13)</f>
        <v>12000</v>
      </c>
      <c r="K14" s="17" t="n">
        <f aca="false">SUM(K11:K13)</f>
        <v>9000</v>
      </c>
      <c r="L14" s="17" t="n">
        <f aca="false">SUM(L11:L13)</f>
        <v>9000</v>
      </c>
      <c r="M14" s="17" t="n">
        <f aca="false">SUM(M11:M13)</f>
        <v>9000</v>
      </c>
      <c r="N14" s="17" t="n">
        <f aca="false">SUM(B14:M14)</f>
        <v>133500</v>
      </c>
      <c r="O14" s="17" t="n">
        <f aca="false">AVERAGE(B14:M14)</f>
        <v>11125</v>
      </c>
    </row>
    <row r="16" customFormat="false" ht="15" hidden="false" customHeight="false" outlineLevel="0" collapsed="false">
      <c r="A16" s="3" t="s">
        <v>53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customFormat="false" ht="15" hidden="false" customHeight="false" outlineLevel="0" collapsed="false">
      <c r="A17" s="0" t="s">
        <v>44</v>
      </c>
      <c r="B17" s="15" t="n">
        <f aca="false">Assumptions!$B$5</f>
        <v>8000</v>
      </c>
      <c r="C17" s="15" t="n">
        <f aca="false">Assumptions!$B$5</f>
        <v>8000</v>
      </c>
      <c r="D17" s="15" t="n">
        <f aca="false">Assumptions!$B$5</f>
        <v>8000</v>
      </c>
      <c r="E17" s="15" t="n">
        <f aca="false">Assumptions!$B$5</f>
        <v>8000</v>
      </c>
      <c r="F17" s="15" t="n">
        <f aca="false">Assumptions!$B$5</f>
        <v>8000</v>
      </c>
      <c r="G17" s="15" t="n">
        <f aca="false">Assumptions!$B$5</f>
        <v>8000</v>
      </c>
      <c r="H17" s="15" t="n">
        <f aca="false">Assumptions!$B$5</f>
        <v>8000</v>
      </c>
      <c r="I17" s="15" t="n">
        <f aca="false">Assumptions!$B$5</f>
        <v>8000</v>
      </c>
      <c r="J17" s="15" t="n">
        <f aca="false">Assumptions!$B$5</f>
        <v>8000</v>
      </c>
      <c r="K17" s="15" t="n">
        <f aca="false">Assumptions!$B$5</f>
        <v>8000</v>
      </c>
      <c r="L17" s="15" t="n">
        <f aca="false">Assumptions!$B$5</f>
        <v>8000</v>
      </c>
      <c r="M17" s="15" t="n">
        <f aca="false">Assumptions!$B$5</f>
        <v>8000</v>
      </c>
      <c r="N17" s="15" t="n">
        <f aca="false">SUM(B17:M17)</f>
        <v>96000</v>
      </c>
      <c r="O17" s="15" t="n">
        <f aca="false">AVERAGE(B17:M17)</f>
        <v>8000</v>
      </c>
    </row>
    <row r="18" customFormat="false" ht="15" hidden="false" customHeight="false" outlineLevel="0" collapsed="false">
      <c r="A18" s="0" t="s">
        <v>54</v>
      </c>
      <c r="B18" s="15" t="n">
        <f aca="false">Assumptions!$B$6</f>
        <v>1500</v>
      </c>
      <c r="C18" s="15" t="n">
        <f aca="false">Assumptions!$B$7</f>
        <v>3000</v>
      </c>
      <c r="D18" s="15" t="n">
        <f aca="false">Assumptions!$B$7</f>
        <v>3000</v>
      </c>
      <c r="E18" s="15" t="n">
        <f aca="false">Assumptions!$B$7</f>
        <v>3000</v>
      </c>
      <c r="F18" s="15" t="n">
        <f aca="false">Assumptions!$B$7</f>
        <v>3000</v>
      </c>
      <c r="G18" s="15" t="n">
        <f aca="false">Assumptions!$B$7</f>
        <v>3000</v>
      </c>
      <c r="H18" s="15" t="n">
        <f aca="false">Assumptions!$B$7</f>
        <v>3000</v>
      </c>
      <c r="I18" s="15" t="n">
        <f aca="false">Assumptions!$B$7</f>
        <v>3000</v>
      </c>
      <c r="J18" s="15" t="n">
        <f aca="false">Assumptions!$B$7</f>
        <v>3000</v>
      </c>
      <c r="K18" s="15" t="n">
        <f aca="false">Assumptions!$B$7</f>
        <v>3000</v>
      </c>
      <c r="L18" s="15" t="n">
        <f aca="false">Assumptions!$B$7</f>
        <v>3000</v>
      </c>
      <c r="M18" s="15" t="n">
        <f aca="false">Assumptions!$B$7</f>
        <v>3000</v>
      </c>
      <c r="N18" s="15" t="n">
        <f aca="false">SUM(B18:M18)</f>
        <v>34500</v>
      </c>
      <c r="O18" s="15" t="n">
        <f aca="false">AVERAGE(B18:M18)</f>
        <v>2875</v>
      </c>
    </row>
    <row r="19" customFormat="false" ht="15" hidden="false" customHeight="false" outlineLevel="0" collapsed="false">
      <c r="A19" s="0" t="s">
        <v>55</v>
      </c>
      <c r="B19" s="15" t="n">
        <f aca="false">Assumptions!$B$8*(1+Assumptions!$B$14)</f>
        <v>2500</v>
      </c>
      <c r="C19" s="15" t="n">
        <f aca="false">Assumptions!$B$8*(1+Assumptions!$B$14)</f>
        <v>2500</v>
      </c>
      <c r="D19" s="15" t="n">
        <f aca="false">Assumptions!$B$8*(1+Assumptions!$B$14)</f>
        <v>2500</v>
      </c>
      <c r="E19" s="15" t="n">
        <f aca="false">Assumptions!$B$8*(1+Assumptions!$B$14)</f>
        <v>2500</v>
      </c>
      <c r="F19" s="15" t="n">
        <f aca="false">Assumptions!$B$8*(1+Assumptions!$B$14)</f>
        <v>2500</v>
      </c>
      <c r="G19" s="15" t="n">
        <f aca="false">Assumptions!$B$8*(1+Assumptions!$B$14)</f>
        <v>2500</v>
      </c>
      <c r="H19" s="15" t="n">
        <f aca="false">Assumptions!$B$8*(1+Assumptions!$B$14)</f>
        <v>2500</v>
      </c>
      <c r="I19" s="15" t="n">
        <f aca="false">Assumptions!$B$8*(1+Assumptions!$B$14)</f>
        <v>2500</v>
      </c>
      <c r="J19" s="15" t="n">
        <f aca="false">Assumptions!$B$8*(1+Assumptions!$B$14)</f>
        <v>2500</v>
      </c>
      <c r="K19" s="15" t="n">
        <f aca="false">Assumptions!$B$8*(1+Assumptions!$B$14)</f>
        <v>2500</v>
      </c>
      <c r="L19" s="15" t="n">
        <f aca="false">Assumptions!$B$8*(1+Assumptions!$B$14)</f>
        <v>2500</v>
      </c>
      <c r="M19" s="15" t="n">
        <f aca="false">Assumptions!$B$8*(1+Assumptions!$B$14)</f>
        <v>2500</v>
      </c>
      <c r="N19" s="15" t="n">
        <f aca="false">SUM(B19:M19)</f>
        <v>30000</v>
      </c>
      <c r="O19" s="15" t="n">
        <f aca="false">AVERAGE(B19:M19)</f>
        <v>2500</v>
      </c>
    </row>
    <row r="20" customFormat="false" ht="15" hidden="false" customHeight="false" outlineLevel="0" collapsed="false">
      <c r="A20" s="7" t="s">
        <v>56</v>
      </c>
      <c r="B20" s="18" t="n">
        <f aca="false">SUM(B17:B19)</f>
        <v>12000</v>
      </c>
      <c r="C20" s="18" t="n">
        <f aca="false">SUM(C17:C19)</f>
        <v>13500</v>
      </c>
      <c r="D20" s="18" t="n">
        <f aca="false">SUM(D17:D19)</f>
        <v>13500</v>
      </c>
      <c r="E20" s="18" t="n">
        <f aca="false">SUM(E17:E19)</f>
        <v>13500</v>
      </c>
      <c r="F20" s="18" t="n">
        <f aca="false">SUM(F17:F19)</f>
        <v>13500</v>
      </c>
      <c r="G20" s="18" t="n">
        <f aca="false">SUM(G17:G19)</f>
        <v>13500</v>
      </c>
      <c r="H20" s="18" t="n">
        <f aca="false">SUM(H17:H19)</f>
        <v>13500</v>
      </c>
      <c r="I20" s="18" t="n">
        <f aca="false">SUM(I17:I19)</f>
        <v>13500</v>
      </c>
      <c r="J20" s="18" t="n">
        <f aca="false">SUM(J17:J19)</f>
        <v>13500</v>
      </c>
      <c r="K20" s="18" t="n">
        <f aca="false">SUM(K17:K19)</f>
        <v>13500</v>
      </c>
      <c r="L20" s="18" t="n">
        <f aca="false">SUM(L17:L19)</f>
        <v>13500</v>
      </c>
      <c r="M20" s="18" t="n">
        <f aca="false">SUM(M17:M19)</f>
        <v>13500</v>
      </c>
      <c r="N20" s="18" t="n">
        <f aca="false">SUM(B20:M20)</f>
        <v>160500</v>
      </c>
      <c r="O20" s="18" t="n">
        <f aca="false">AVERAGE(B20:M20)</f>
        <v>13375</v>
      </c>
    </row>
  </sheetData>
  <mergeCells count="4">
    <mergeCell ref="A1:O1"/>
    <mergeCell ref="A4:O4"/>
    <mergeCell ref="A10:O10"/>
    <mergeCell ref="A16:O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</cols>
  <sheetData>
    <row r="1" customFormat="false" ht="17.35" hidden="false" customHeight="false" outlineLevel="0" collapsed="false">
      <c r="A1" s="1" t="s">
        <v>57</v>
      </c>
      <c r="B1" s="1"/>
      <c r="C1" s="1"/>
    </row>
    <row r="3" customFormat="false" ht="15" hidden="false" customHeight="false" outlineLevel="0" collapsed="false">
      <c r="A3" s="14" t="s">
        <v>58</v>
      </c>
      <c r="B3" s="14" t="s">
        <v>59</v>
      </c>
      <c r="C3" s="14" t="s">
        <v>60</v>
      </c>
    </row>
    <row r="4" customFormat="false" ht="15" hidden="false" customHeight="false" outlineLevel="0" collapsed="false">
      <c r="A4" s="0" t="s">
        <v>61</v>
      </c>
      <c r="B4" s="19" t="n">
        <f aca="false">Forecast!N8</f>
        <v>154500</v>
      </c>
      <c r="C4" s="19" t="n">
        <f aca="false">Forecast!O8</f>
        <v>12875</v>
      </c>
    </row>
    <row r="5" customFormat="false" ht="15" hidden="false" customHeight="false" outlineLevel="0" collapsed="false">
      <c r="A5" s="0" t="s">
        <v>62</v>
      </c>
      <c r="B5" s="19" t="n">
        <f aca="false">Forecast!N14</f>
        <v>133500</v>
      </c>
      <c r="C5" s="19" t="n">
        <f aca="false">Forecast!O14</f>
        <v>11125</v>
      </c>
    </row>
    <row r="6" customFormat="false" ht="15" hidden="false" customHeight="false" outlineLevel="0" collapsed="false">
      <c r="A6" s="0" t="s">
        <v>63</v>
      </c>
      <c r="B6" s="19" t="n">
        <f aca="false">Forecast!N20</f>
        <v>160500</v>
      </c>
      <c r="C6" s="19" t="n">
        <f aca="false">Forecast!O20</f>
        <v>13375</v>
      </c>
    </row>
    <row r="8" customFormat="false" ht="15" hidden="false" customHeight="false" outlineLevel="0" collapsed="false">
      <c r="A8" s="3" t="s">
        <v>64</v>
      </c>
      <c r="B8" s="3"/>
      <c r="C8" s="3"/>
    </row>
    <row r="9" customFormat="false" ht="15" hidden="false" customHeight="false" outlineLevel="0" collapsed="false">
      <c r="A9" s="0" t="s">
        <v>44</v>
      </c>
      <c r="B9" s="15" t="n">
        <f aca="false">Forecast!N5</f>
        <v>96000</v>
      </c>
      <c r="C9" s="20" t="n">
        <f aca="false">B9/$B$4</f>
        <v>0.621359223300971</v>
      </c>
    </row>
    <row r="10" customFormat="false" ht="15" hidden="false" customHeight="false" outlineLevel="0" collapsed="false">
      <c r="A10" s="0" t="s">
        <v>45</v>
      </c>
      <c r="B10" s="15" t="n">
        <f aca="false">Forecast!N6</f>
        <v>34500</v>
      </c>
      <c r="C10" s="20" t="n">
        <f aca="false">B10/$B$4</f>
        <v>0.223300970873786</v>
      </c>
    </row>
    <row r="11" customFormat="false" ht="15" hidden="false" customHeight="false" outlineLevel="0" collapsed="false">
      <c r="A11" s="0" t="s">
        <v>65</v>
      </c>
      <c r="B11" s="15" t="n">
        <f aca="false">Forecast!N7</f>
        <v>24000</v>
      </c>
      <c r="C11" s="20" t="n">
        <f aca="false">B11/$B$4</f>
        <v>0.155339805825243</v>
      </c>
    </row>
    <row r="12" customFormat="false" ht="15" hidden="false" customHeight="false" outlineLevel="0" collapsed="false">
      <c r="A12" s="7" t="s">
        <v>41</v>
      </c>
      <c r="B12" s="21" t="n">
        <f aca="false">SUM(B9:B11)</f>
        <v>154500</v>
      </c>
      <c r="C12" s="22" t="n">
        <f aca="false">SUM(C9:C11)</f>
        <v>1</v>
      </c>
    </row>
    <row r="14" customFormat="false" ht="15" hidden="false" customHeight="false" outlineLevel="0" collapsed="false">
      <c r="A14" s="3" t="s">
        <v>66</v>
      </c>
      <c r="B14" s="3"/>
      <c r="C14" s="3"/>
    </row>
    <row r="15" customFormat="false" ht="23.85" hidden="false" customHeight="true" outlineLevel="0" collapsed="false">
      <c r="A15" s="23" t="s">
        <v>67</v>
      </c>
      <c r="B15" s="23"/>
      <c r="C15" s="23"/>
    </row>
    <row r="16" customFormat="false" ht="23.85" hidden="false" customHeight="true" outlineLevel="0" collapsed="false">
      <c r="A16" s="23" t="s">
        <v>68</v>
      </c>
      <c r="B16" s="23"/>
      <c r="C16" s="23"/>
    </row>
    <row r="17" customFormat="false" ht="23.85" hidden="false" customHeight="true" outlineLevel="0" collapsed="false">
      <c r="A17" s="23" t="s">
        <v>69</v>
      </c>
      <c r="B17" s="23"/>
      <c r="C17" s="23"/>
    </row>
    <row r="18" customFormat="false" ht="23.85" hidden="false" customHeight="true" outlineLevel="0" collapsed="false">
      <c r="A18" s="23" t="s">
        <v>70</v>
      </c>
      <c r="B18" s="23"/>
      <c r="C18" s="23"/>
    </row>
    <row r="19" customFormat="false" ht="23.85" hidden="false" customHeight="true" outlineLevel="0" collapsed="false">
      <c r="A19" s="23" t="s">
        <v>71</v>
      </c>
      <c r="B19" s="23"/>
      <c r="C19" s="23"/>
    </row>
  </sheetData>
  <mergeCells count="8">
    <mergeCell ref="A1:C1"/>
    <mergeCell ref="A8:C8"/>
    <mergeCell ref="A14:C14"/>
    <mergeCell ref="A15:C15"/>
    <mergeCell ref="A16:C16"/>
    <mergeCell ref="A17:C17"/>
    <mergeCell ref="A18:C18"/>
    <mergeCell ref="A19:C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2026-05-30T02:22:17Z</dcterms:created>
  <dc:creator>openpyxl</dc:creator>
  <dc:description/>
  <dc:language>en-US</dc:language>
  <cp:lastModifiedBy/>
  <dcterms:modified xsi:type="dcterms:W3CDTF">2026-05-30T02:22:17Z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