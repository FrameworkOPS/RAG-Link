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Forecast" sheetId="2" state="visible" r:id="rId4"/>
    <sheet name="Summary" sheetId="3" state="visible" r:id="rId5"/>
    <sheet name="Tax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<sst xmlns="http://schemas.openxmlformats.org/spreadsheetml/2006/main" count="153" uniqueCount="137">
  <si>
    <t xml:space="preserve">Income Forecaster — Chance Peare</t>
  </si>
  <si>
    <t xml:space="preserve">Horizon: June 2026 – May 2027 | Updated: May 29, 2026 | Pessimistic per Framework OPS standard</t>
  </si>
  <si>
    <t xml:space="preserve">INPUT ASSUMPTIONS</t>
  </si>
  <si>
    <t xml:space="preserve">Skyright W2 (monthly gross)</t>
  </si>
  <si>
    <t xml:space="preserve">Stable W2. Tax handled by employer withholding.</t>
  </si>
  <si>
    <t xml:space="preserve">Carlos retainer — June ramp</t>
  </si>
  <si>
    <t xml:space="preserve">Half month / partial scope.</t>
  </si>
  <si>
    <t xml:space="preserve">Carlos retainer — Jul onward</t>
  </si>
  <si>
    <t xml:space="preserve">Full retainer starts July.</t>
  </si>
  <si>
    <t xml:space="preserve">Client 3 retainer (monthly)</t>
  </si>
  <si>
    <t xml:space="preserve">New client assumed signed for Sep onset.</t>
  </si>
  <si>
    <t xml:space="preserve">Client 3 start month #</t>
  </si>
  <si>
    <t xml:space="preserve">Month number (1=Jun26, 4=Sep26, 12=May27).</t>
  </si>
  <si>
    <t xml:space="preserve">Daniel + Upwork variable (monthly est)</t>
  </si>
  <si>
    <t xml:space="preserve">Project-based. Lumpy in reality.</t>
  </si>
  <si>
    <t xml:space="preserve">SCENARIO HAIRCUTS</t>
  </si>
  <si>
    <t xml:space="preserve">Downside: Carlos churn month (1–12, 0=never)</t>
  </si>
  <si>
    <t xml:space="preserve">Default month 10 = pessimistic churn.</t>
  </si>
  <si>
    <t xml:space="preserve">Downside: Client 3 churn month (1–12, 0=never)</t>
  </si>
  <si>
    <t xml:space="preserve">New client = highest churn risk. Default = month 9.</t>
  </si>
  <si>
    <t xml:space="preserve">Downside: Variable work haircut %</t>
  </si>
  <si>
    <t xml:space="preserve">Discount on Daniel/Upwork.</t>
  </si>
  <si>
    <t xml:space="preserve">Downside: Skyright continuity</t>
  </si>
  <si>
    <t xml:space="preserve">1.00 = stays. Drop to model W2 loss.</t>
  </si>
  <si>
    <t xml:space="preserve">Upside: Variable work uplift %</t>
  </si>
  <si>
    <t xml:space="preserve">Modest uplift in upside.</t>
  </si>
  <si>
    <t xml:space="preserve">COLOR KEY</t>
  </si>
  <si>
    <t xml:space="preserve">Blue text</t>
  </si>
  <si>
    <t xml:space="preserve">Hardcoded input — change these</t>
  </si>
  <si>
    <t xml:space="preserve">Black text</t>
  </si>
  <si>
    <t xml:space="preserve">Formula / calculation</t>
  </si>
  <si>
    <t xml:space="preserve">Yellow fill</t>
  </si>
  <si>
    <t xml:space="preserve">Key assumption — sanity-check</t>
  </si>
  <si>
    <t xml:space="preserve">12-Month Income Forecast</t>
  </si>
  <si>
    <t xml:space="preserve">Source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</si>
  <si>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</si>
  <si>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</si>
  <si>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</si>
  <si>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</si>
  <si>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</si>
  <si>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</si>
  <si>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</si>
  <si>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</si>
  <si>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</si>
  <si>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</si>
  <si>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</si>
  <si>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</si>
  <si>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Total</t>
  </si>
  <si>
    <t xml:space="preserve">Avg/mo</t>
  </si>
  <si>
    <t xml:space="preserve">BASE SCENARIO</t>
  </si>
  <si>
    <t xml:space="preserve">Skyright W2</t>
  </si>
  <si>
    <t xml:space="preserve">Carlos</t>
  </si>
  <si>
    <t xml:space="preserve">Client 3 (Sep ramp)</t>
  </si>
  <si>
    <t xml:space="preserve">Daniel + Upwork (variable)</t>
  </si>
  <si>
    <t xml:space="preserve">Base Total</t>
  </si>
  <si>
    <t xml:space="preserve">DOWNSIDE SCENARIO (pessimistic)</t>
  </si>
  <si>
    <t xml:space="preserve">Skyright W2 × continuity</t>
  </si>
  <si>
    <t xml:space="preserve">Carlos × churn</t>
  </si>
  <si>
    <t xml:space="preserve">Client 3 × churn</t>
  </si>
  <si>
    <t xml:space="preserve">Daniel + Upwork × (1 − haircut)</t>
  </si>
  <si>
    <t xml:space="preserve">Downside Total</t>
  </si>
  <si>
    <t xml:space="preserve">UPSIDE SCENARIO</t>
  </si>
  <si>
    <t xml:space="preserve">Carlos (full)</t>
  </si>
  <si>
    <t xml:space="preserve">Daniel + Upwork × (1 + uplift)</t>
  </si>
  <si>
    <t xml:space="preserve">Upside Total</t>
  </si>
  <si>
    <t xml:space="preserve">Forecast Summary</t>
  </si>
  <si>
    <t xml:space="preserve">Scenario</t>
  </si>
  <si>
    <t xml:space="preserve">12-Mo Total</t>
  </si>
  <si>
    <t xml:space="preserve">Avg / Month</t>
  </si>
  <si>
    <t xml:space="preserve">Base</t>
  </si>
  <si>
    <t xml:space="preserve">Downside (pessimistic)</t>
  </si>
  <si>
    <t xml:space="preserve">Upside</t>
  </si>
  <si>
    <t xml:space="preserve">Composition (Base, Year 1)</t>
  </si>
  <si>
    <t xml:space="preserve">Client 3</t>
  </si>
  <si>
    <t xml:space="preserve">Daniel + Upwork</t>
  </si>
  <si>
    <t xml:space="preserve">Key takeaways</t>
  </si>
  <si>
    <t xml:space="preserve">• Client 3 is the most fragile new line — a Sep close is an assumption, not a signed contract.</t>
  </si>
  <si>
    <t xml:space="preserve">• Skyright W2 still anchors the model. If it disappears, no combination of clients replaces it Year 1.</t>
  </si>
  <si>
    <t xml:space="preserve">• Downside churns Carlos at month 10 and Client 3 at month 9. Edit Assumptions B12/B13 to test.</t>
  </si>
  <si>
    <t xml:space="preserve">• Variable work (Daniel/Upwork) halves in downside. Set to $0 to model a true dry spell.</t>
  </si>
  <si>
    <t xml:space="preserve">• All numbers gross. SE tax 15.3% + income tax on ~$84.5K of 1099 income (base) lands ~$25K – $30K below gross.</t>
  </si>
  <si>
    <t xml:space="preserve">• Capacity check: Carlos + Client 3 = 2 active retainers. CLAUDE.md ceiling is 3 Active + 1 Embedded while still COO at Skyright.</t>
  </si>
  <si>
    <t xml:space="preserve">Net take-home (after tax)</t>
  </si>
  <si>
    <t xml:space="preserve">Annual Net</t>
  </si>
  <si>
    <t xml:space="preserve">Monthly Net</t>
  </si>
  <si>
    <t xml:space="preserve">Downside</t>
  </si>
  <si>
    <t xml:space="preserve">Total tax liability</t>
  </si>
  <si>
    <t xml:space="preserve">Total Tax</t>
  </si>
  <si>
    <t xml:space="preserve">Effective Rate</t>
  </si>
  <si>
    <t xml:space="preserve">Tax Model — Take-Home Calculator</t>
  </si>
  <si>
    <t xml:space="preserve">Filing: MFJ | 4 dependents (all qualifying children &lt;17) | State tax: 0% | Year: 2025 brackets (pessimistic vs 2026)</t>
  </si>
  <si>
    <t xml:space="preserve">TAX INPUTS</t>
  </si>
  <si>
    <t xml:space="preserve">Std deduction (MFJ 2025)</t>
  </si>
  <si>
    <t xml:space="preserve">IRS Rev. Proc. 2024-40.</t>
  </si>
  <si>
    <t xml:space="preserve"># Qualifying children (CTC $2K each)</t>
  </si>
  <si>
    <t xml:space="preserve">Per user input.</t>
  </si>
  <si>
    <t xml:space="preserve"># Other dependents (ODC $500 each)</t>
  </si>
  <si>
    <t xml:space="preserve">State income tax rate</t>
  </si>
  <si>
    <t xml:space="preserve">Set per home state.</t>
  </si>
  <si>
    <t xml:space="preserve">SE earnings multiplier (0.9235)</t>
  </si>
  <si>
    <t xml:space="preserve">IRS standard — net SE × 0.9235.</t>
  </si>
  <si>
    <t xml:space="preserve">SE tax rate (15.3%)</t>
  </si>
  <si>
    <t xml:space="preserve">12.4% SS + 2.9% Medicare.</t>
  </si>
  <si>
    <t xml:space="preserve">QBI deduction rate (20%)</t>
  </si>
  <si>
    <t xml:space="preserve">Sec 199A. Phases out at high AGI — not modeled.</t>
  </si>
  <si>
    <t xml:space="preserve">MFJ TAX BRACKETS (2025)</t>
  </si>
  <si>
    <t xml:space="preserve">Bracket top</t>
  </si>
  <si>
    <t xml:space="preserve">Rate</t>
  </si>
  <si>
    <t xml:space="preserve">SCENARIO TAX CALC</t>
  </si>
  <si>
    <t xml:space="preserve">Line</t>
  </si>
  <si>
    <t xml:space="preserve">W2 income (Skyright)</t>
  </si>
  <si>
    <t xml:space="preserve">1099 income (clients + variable)</t>
  </si>
  <si>
    <t xml:space="preserve">Gross total</t>
  </si>
  <si>
    <t xml:space="preserve">SE net earnings (× 0.9235)</t>
  </si>
  <si>
    <t xml:space="preserve">SE tax (15.3%)</t>
  </si>
  <si>
    <t xml:space="preserve">½ SE deductible</t>
  </si>
  <si>
    <t xml:space="preserve">AGI</t>
  </si>
  <si>
    <t xml:space="preserve">QBI base</t>
  </si>
  <si>
    <t xml:space="preserve">QBI deduction (20%)</t>
  </si>
  <si>
    <t xml:space="preserve">Standard deduction (MFJ)</t>
  </si>
  <si>
    <t xml:space="preserve">Taxable income</t>
  </si>
  <si>
    <t xml:space="preserve">Federal income tax (pre-credit)</t>
  </si>
  <si>
    <t xml:space="preserve">Child Tax Credit + ODC</t>
  </si>
  <si>
    <t xml:space="preserve">Federal income tax (post-credit)</t>
  </si>
  <si>
    <t xml:space="preserve">State income tax</t>
  </si>
  <si>
    <t xml:space="preserve">TOTAL TAX LIABILITY</t>
  </si>
  <si>
    <t xml:space="preserve">NET TAKE-HOME (annual)</t>
  </si>
  <si>
    <t xml:space="preserve">NET TAKE-HOME (monthly avg)</t>
  </si>
  <si>
    <t xml:space="preserve">Effective tax rate</t>
  </si>
  <si>
    <t xml:space="preserve">Methodology notes</t>
  </si>
  <si>
    <t xml:space="preserve">• Brackets are 2025 MFJ — 2026 will be ~2.5% more favorable due to inflation indexing. Using 2025 stays pessimistic.</t>
  </si>
  <si>
    <t xml:space="preserve">• SE tax assumes full 15.3% applies — at this 1099 level, combined W2+SE wages stay under the 2026 SS wage base ($176,100 est).</t>
  </si>
  <si>
    <t xml:space="preserve">• QBI deduction (Sec 199A) applies fully because AGI is below the MFJ phase-out (~$394K). Consulting is a SSTB — if AGI rises, deduction phases out.</t>
  </si>
  <si>
    <t xml:space="preserve">• CTC: $2,000 per qualifying child &lt;17. Phases out above $400K MFJ — not a concern here.</t>
  </si>
  <si>
    <t xml:space="preserve">• No state tax modeled. If you move to a tax state, set Assumptions B8 to the rate (CA 9.3%, NY 6.5%, GA 5.4%, etc.).</t>
  </si>
  <si>
    <t xml:space="preserve">• Self-employment retirement contributions (Solo 401(k), SEP IRA) NOT modeled — these would lower AGI further. Consider for tax planning.</t>
  </si>
  <si>
    <t xml:space="preserve">• Estimated quarterly payments required for 1099 income. Roughly: SE tax + (1099 × ~22%) ÷ 4 = your quarterly federal payment.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</si>
</sst>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"/>
    <numFmt numFmtId="167" formatCode="\$#,##0;&quot;($&quot;#,##0\);\-"/>
    <numFmt numFmtId="168" formatCode="\$#,##0"/>
    <numFmt numFmtId="169" formatCode="0"/>
    <numFmt numFmtId="170" formatCode="0.00%"/>
    <numFmt numFmtId="171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E2EFDA"/>
      </patternFill>
    </fill>
    <fill>
      <patternFill patternType="solid">
        <fgColor rgb="FFDDEBF7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  <col collapsed="false" customWidth="true" hidden="false" outlineLevel="0" max="3" min="3" style="1" width="60"/>
    <col collapsed="false" customWidth="true" hidden="false" outlineLevel="0" max="4" min="4" style="1" width="4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/>
      <c r="C2" s="3"/>
      <c r="D2" s="3"/>
    </row>
    <row r="4" customFormat="false" ht="15" hidden="false" customHeight="true" outlineLevel="0" collapsed="false">
      <c r="A4" s="4" t="s">
        <v>2</v>
      </c>
      <c r="B4" s="4"/>
      <c r="C4" s="4"/>
      <c r="D4" s="4"/>
    </row>
    <row r="5" customFormat="false" ht="15" hidden="false" customHeight="true" outlineLevel="0" collapsed="false">
      <c r="A5" s="1" t="s">
        <v>3</v>
      </c>
      <c r="B5" s="5" t="n">
        <v>8000</v>
      </c>
      <c r="C5" s="6" t="s">
        <v>4</v>
      </c>
    </row>
    <row r="6" customFormat="false" ht="15" hidden="false" customHeight="true" outlineLevel="0" collapsed="false">
      <c r="A6" s="1" t="s">
        <v>5</v>
      </c>
      <c r="B6" s="5" t="n">
        <v>1500</v>
      </c>
      <c r="C6" s="6" t="s">
        <v>6</v>
      </c>
    </row>
    <row r="7" customFormat="false" ht="15" hidden="false" customHeight="true" outlineLevel="0" collapsed="false">
      <c r="A7" s="1" t="s">
        <v>7</v>
      </c>
      <c r="B7" s="5" t="n">
        <v>3000</v>
      </c>
      <c r="C7" s="6" t="s">
        <v>8</v>
      </c>
    </row>
    <row r="8" customFormat="false" ht="15" hidden="false" customHeight="true" outlineLevel="0" collapsed="false">
      <c r="A8" s="1" t="s">
        <v>9</v>
      </c>
      <c r="B8" s="7" t="n">
        <v>3000</v>
      </c>
      <c r="C8" s="6" t="s">
        <v>10</v>
      </c>
    </row>
    <row r="9" customFormat="false" ht="15" hidden="false" customHeight="true" outlineLevel="0" collapsed="false">
      <c r="A9" s="1" t="s">
        <v>11</v>
      </c>
      <c r="B9" s="8" t="n">
        <v>4</v>
      </c>
      <c r="C9" s="6" t="s">
        <v>12</v>
      </c>
    </row>
    <row r="10" customFormat="false" ht="15" hidden="false" customHeight="true" outlineLevel="0" collapsed="false">
      <c r="A10" s="1" t="s">
        <v>13</v>
      </c>
      <c r="B10" s="5" t="n">
        <v>2000</v>
      </c>
      <c r="C10" s="6" t="s">
        <v>14</v>
      </c>
    </row>
    <row r="11" customFormat="false" ht="15" hidden="false" customHeight="true" outlineLevel="0" collapsed="false">
      <c r="A11" s="4" t="s">
        <v>15</v>
      </c>
      <c r="B11" s="4"/>
      <c r="C11" s="4"/>
      <c r="D11" s="4"/>
    </row>
    <row r="12" customFormat="false" ht="15" hidden="false" customHeight="true" outlineLevel="0" collapsed="false">
      <c r="A12" s="1" t="s">
        <v>16</v>
      </c>
      <c r="B12" s="8" t="n">
        <v>10</v>
      </c>
      <c r="C12" s="6" t="s">
        <v>17</v>
      </c>
    </row>
    <row r="13" customFormat="false" ht="15" hidden="false" customHeight="true" outlineLevel="0" collapsed="false">
      <c r="A13" s="1" t="s">
        <v>18</v>
      </c>
      <c r="B13" s="8" t="n">
        <v>9</v>
      </c>
      <c r="C13" s="6" t="s">
        <v>19</v>
      </c>
    </row>
    <row r="14" customFormat="false" ht="15" hidden="false" customHeight="true" outlineLevel="0" collapsed="false">
      <c r="A14" s="1" t="s">
        <v>20</v>
      </c>
      <c r="B14" s="9" t="n">
        <v>0.5</v>
      </c>
      <c r="C14" s="6" t="s">
        <v>21</v>
      </c>
    </row>
    <row r="15" customFormat="false" ht="15" hidden="false" customHeight="true" outlineLevel="0" collapsed="false">
      <c r="A15" s="1" t="s">
        <v>22</v>
      </c>
      <c r="B15" s="9" t="n">
        <v>1</v>
      </c>
      <c r="C15" s="6" t="s">
        <v>23</v>
      </c>
    </row>
    <row r="16" customFormat="false" ht="15" hidden="false" customHeight="true" outlineLevel="0" collapsed="false">
      <c r="A16" s="1" t="s">
        <v>24</v>
      </c>
      <c r="B16" s="9" t="n">
        <v>0.25</v>
      </c>
      <c r="C16" s="6" t="s">
        <v>25</v>
      </c>
    </row>
    <row r="18" customFormat="false" ht="15" hidden="false" customHeight="true" outlineLevel="0" collapsed="false">
      <c r="A18" s="4" t="s">
        <v>26</v>
      </c>
      <c r="B18" s="4"/>
      <c r="C18" s="4"/>
      <c r="D18" s="4"/>
    </row>
    <row r="19" customFormat="false" ht="15" hidden="false" customHeight="true" outlineLevel="0" collapsed="false">
      <c r="A19" s="10" t="s">
        <v>27</v>
      </c>
      <c r="B19" s="1" t="s">
        <v>28</v>
      </c>
    </row>
    <row r="20" customFormat="false" ht="15" hidden="false" customHeight="true" outlineLevel="0" collapsed="false">
      <c r="A20" s="11" t="s">
        <v>29</v>
      </c>
      <c r="B20" s="1" t="s">
        <v>30</v>
      </c>
    </row>
    <row r="21" customFormat="false" ht="15" hidden="false" customHeight="true" outlineLevel="0" collapsed="false">
      <c r="A21" s="12" t="s">
        <v>31</v>
      </c>
      <c r="B21" s="1" t="s">
        <v>32</v>
      </c>
    </row>
  </sheetData>
  <mergeCells count="5">
    <mergeCell ref="A1:D1"/>
    <mergeCell ref="A2:D2"/>
    <mergeCell ref="A4:D4"/>
    <mergeCell ref="A11:D11"/>
    <mergeCell ref="A18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15" min="2" style="1" width="11"/>
  </cols>
  <sheetData>
    <row r="1" customFormat="false" ht="17.25" hidden="false" customHeight="true" outlineLevel="0" collapsed="false">
      <c r="A1" s="2" t="s">
        <v>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3" customFormat="false" ht="15" hidden="false" customHeight="true" outlineLevel="0" collapsed="false">
      <c r="A3" s="13" t="s">
        <v>34</v>
      </c>
      <c r="B3" s="13" t="s">
        <v>35</v>
      </c>
      <c r="C3" s="13" t="s">
        <v>36</v>
      </c>
      <c r="D3" s="13" t="s">
        <v>37</v>
      </c>
      <c r="E3" s="13" t="s">
        <v>38</v>
      </c>
      <c r="F3" s="13" t="s">
        <v>39</v>
      </c>
      <c r="G3" s="13" t="s">
        <v>40</v>
      </c>
      <c r="H3" s="13" t="s">
        <v>41</v>
      </c>
      <c r="I3" s="13" t="s">
        <v>42</v>
      </c>
      <c r="J3" s="13" t="s">
        <v>43</v>
      </c>
      <c r="K3" s="13" t="s">
        <v>44</v>
      </c>
      <c r="L3" s="13" t="s">
        <v>45</v>
      </c>
      <c r="M3" s="13" t="s">
        <v>46</v>
      </c>
      <c r="N3" s="13" t="s">
        <v>47</v>
      </c>
      <c r="O3" s="13" t="s">
        <v>48</v>
      </c>
    </row>
    <row r="4" customFormat="false" ht="15" hidden="false" customHeight="true" outlineLevel="0" collapsed="false">
      <c r="A4" s="4" t="s">
        <v>49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customFormat="false" ht="15" hidden="false" customHeight="true" outlineLevel="0" collapsed="false">
      <c r="A5" s="1" t="s">
        <v>50</v>
      </c>
      <c r="B5" s="14" t="n">
        <f aca="false">Assumptions!$B$5</f>
        <v>8000</v>
      </c>
      <c r="C5" s="14" t="n">
        <f aca="false">Assumptions!$B$5</f>
        <v>8000</v>
      </c>
      <c r="D5" s="14" t="n">
        <f aca="false">Assumptions!$B$5</f>
        <v>8000</v>
      </c>
      <c r="E5" s="14" t="n">
        <f aca="false">Assumptions!$B$5</f>
        <v>8000</v>
      </c>
      <c r="F5" s="14" t="n">
        <f aca="false">Assumptions!$B$5</f>
        <v>8000</v>
      </c>
      <c r="G5" s="14" t="n">
        <f aca="false">Assumptions!$B$5</f>
        <v>8000</v>
      </c>
      <c r="H5" s="14" t="n">
        <f aca="false">Assumptions!$B$5</f>
        <v>8000</v>
      </c>
      <c r="I5" s="14" t="n">
        <f aca="false">Assumptions!$B$5</f>
        <v>8000</v>
      </c>
      <c r="J5" s="14" t="n">
        <f aca="false">Assumptions!$B$5</f>
        <v>8000</v>
      </c>
      <c r="K5" s="14" t="n">
        <f aca="false">Assumptions!$B$5</f>
        <v>8000</v>
      </c>
      <c r="L5" s="14" t="n">
        <f aca="false">Assumptions!$B$5</f>
        <v>8000</v>
      </c>
      <c r="M5" s="14" t="n">
        <f aca="false">Assumptions!$B$5</f>
        <v>8000</v>
      </c>
      <c r="N5" s="14" t="n">
        <f aca="false">SUM(B5:M5)</f>
        <v>96000</v>
      </c>
      <c r="O5" s="14" t="n">
        <f aca="false">AVERAGE(B5:M5)</f>
        <v>8000</v>
      </c>
    </row>
    <row r="6" customFormat="false" ht="15" hidden="false" customHeight="true" outlineLevel="0" collapsed="false">
      <c r="A6" s="1" t="s">
        <v>51</v>
      </c>
      <c r="B6" s="14" t="n">
        <f aca="false">Assumptions!$B$6</f>
        <v>1500</v>
      </c>
      <c r="C6" s="14" t="n">
        <f aca="false">Assumptions!$B$7</f>
        <v>3000</v>
      </c>
      <c r="D6" s="14" t="n">
        <f aca="false">Assumptions!$B$7</f>
        <v>3000</v>
      </c>
      <c r="E6" s="14" t="n">
        <f aca="false">Assumptions!$B$7</f>
        <v>3000</v>
      </c>
      <c r="F6" s="14" t="n">
        <f aca="false">Assumptions!$B$7</f>
        <v>3000</v>
      </c>
      <c r="G6" s="14" t="n">
        <f aca="false">Assumptions!$B$7</f>
        <v>3000</v>
      </c>
      <c r="H6" s="14" t="n">
        <f aca="false">Assumptions!$B$7</f>
        <v>3000</v>
      </c>
      <c r="I6" s="14" t="n">
        <f aca="false">Assumptions!$B$7</f>
        <v>3000</v>
      </c>
      <c r="J6" s="14" t="n">
        <f aca="false">Assumptions!$B$7</f>
        <v>3000</v>
      </c>
      <c r="K6" s="14" t="n">
        <f aca="false">Assumptions!$B$7</f>
        <v>3000</v>
      </c>
      <c r="L6" s="14" t="n">
        <f aca="false">Assumptions!$B$7</f>
        <v>3000</v>
      </c>
      <c r="M6" s="14" t="n">
        <f aca="false">Assumptions!$B$7</f>
        <v>3000</v>
      </c>
      <c r="N6" s="14" t="n">
        <f aca="false">SUM(B6:M6)</f>
        <v>34500</v>
      </c>
      <c r="O6" s="14" t="n">
        <f aca="false">AVERAGE(B6:M6)</f>
        <v>2875</v>
      </c>
    </row>
    <row r="7" customFormat="false" ht="15" hidden="false" customHeight="true" outlineLevel="0" collapsed="false">
      <c r="A7" s="1" t="s">
        <v>52</v>
      </c>
      <c r="B7" s="14" t="n">
        <f aca="false">IF(1&gt;=Assumptions!$B$9,Assumptions!$B$8,0)</f>
        <v>0</v>
      </c>
      <c r="C7" s="14" t="n">
        <f aca="false">IF(2&gt;=Assumptions!$B$9,Assumptions!$B$8,0)</f>
        <v>0</v>
      </c>
      <c r="D7" s="14" t="n">
        <f aca="false">IF(3&gt;=Assumptions!$B$9,Assumptions!$B$8,0)</f>
        <v>0</v>
      </c>
      <c r="E7" s="14" t="n">
        <f aca="false">IF(4&gt;=Assumptions!$B$9,Assumptions!$B$8,0)</f>
        <v>3000</v>
      </c>
      <c r="F7" s="14" t="n">
        <f aca="false">IF(5&gt;=Assumptions!$B$9,Assumptions!$B$8,0)</f>
        <v>3000</v>
      </c>
      <c r="G7" s="14" t="n">
        <f aca="false">IF(6&gt;=Assumptions!$B$9,Assumptions!$B$8,0)</f>
        <v>3000</v>
      </c>
      <c r="H7" s="14" t="n">
        <f aca="false">IF(7&gt;=Assumptions!$B$9,Assumptions!$B$8,0)</f>
        <v>3000</v>
      </c>
      <c r="I7" s="14" t="n">
        <f aca="false">IF(8&gt;=Assumptions!$B$9,Assumptions!$B$8,0)</f>
        <v>3000</v>
      </c>
      <c r="J7" s="14" t="n">
        <f aca="false">IF(9&gt;=Assumptions!$B$9,Assumptions!$B$8,0)</f>
        <v>3000</v>
      </c>
      <c r="K7" s="14" t="n">
        <f aca="false">IF(10&gt;=Assumptions!$B$9,Assumptions!$B$8,0)</f>
        <v>3000</v>
      </c>
      <c r="L7" s="14" t="n">
        <f aca="false">IF(11&gt;=Assumptions!$B$9,Assumptions!$B$8,0)</f>
        <v>3000</v>
      </c>
      <c r="M7" s="14" t="n">
        <f aca="false">IF(12&gt;=Assumptions!$B$9,Assumptions!$B$8,0)</f>
        <v>3000</v>
      </c>
      <c r="N7" s="14" t="n">
        <f aca="false">SUM(B7:M7)</f>
        <v>27000</v>
      </c>
      <c r="O7" s="14" t="n">
        <f aca="false">AVERAGE(B7:M7)</f>
        <v>2250</v>
      </c>
    </row>
    <row r="8" customFormat="false" ht="15" hidden="false" customHeight="true" outlineLevel="0" collapsed="false">
      <c r="A8" s="1" t="s">
        <v>53</v>
      </c>
      <c r="B8" s="14" t="n">
        <f aca="false">Assumptions!$B$10</f>
        <v>2000</v>
      </c>
      <c r="C8" s="14" t="n">
        <f aca="false">Assumptions!$B$10</f>
        <v>2000</v>
      </c>
      <c r="D8" s="14" t="n">
        <f aca="false">Assumptions!$B$10</f>
        <v>2000</v>
      </c>
      <c r="E8" s="14" t="n">
        <f aca="false">Assumptions!$B$10</f>
        <v>2000</v>
      </c>
      <c r="F8" s="14" t="n">
        <f aca="false">Assumptions!$B$10</f>
        <v>2000</v>
      </c>
      <c r="G8" s="14" t="n">
        <f aca="false">Assumptions!$B$10</f>
        <v>2000</v>
      </c>
      <c r="H8" s="14" t="n">
        <f aca="false">Assumptions!$B$10</f>
        <v>2000</v>
      </c>
      <c r="I8" s="14" t="n">
        <f aca="false">Assumptions!$B$10</f>
        <v>2000</v>
      </c>
      <c r="J8" s="14" t="n">
        <f aca="false">Assumptions!$B$10</f>
        <v>2000</v>
      </c>
      <c r="K8" s="14" t="n">
        <f aca="false">Assumptions!$B$10</f>
        <v>2000</v>
      </c>
      <c r="L8" s="14" t="n">
        <f aca="false">Assumptions!$B$10</f>
        <v>2000</v>
      </c>
      <c r="M8" s="14" t="n">
        <f aca="false">Assumptions!$B$10</f>
        <v>2000</v>
      </c>
      <c r="N8" s="14" t="n">
        <f aca="false">SUM(B8:M8)</f>
        <v>24000</v>
      </c>
      <c r="O8" s="14" t="n">
        <f aca="false">AVERAGE(B8:M8)</f>
        <v>2000</v>
      </c>
    </row>
    <row r="9" customFormat="false" ht="15" hidden="false" customHeight="true" outlineLevel="0" collapsed="false">
      <c r="A9" s="1" t="s">
        <v>54</v>
      </c>
      <c r="B9" s="15" t="n">
        <f aca="false">SUM(B5:B8)</f>
        <v>11500</v>
      </c>
      <c r="C9" s="15" t="n">
        <f aca="false">SUM(C5:C8)</f>
        <v>13000</v>
      </c>
      <c r="D9" s="15" t="n">
        <f aca="false">SUM(D5:D8)</f>
        <v>13000</v>
      </c>
      <c r="E9" s="15" t="n">
        <f aca="false">SUM(E5:E8)</f>
        <v>16000</v>
      </c>
      <c r="F9" s="15" t="n">
        <f aca="false">SUM(F5:F8)</f>
        <v>16000</v>
      </c>
      <c r="G9" s="15" t="n">
        <f aca="false">SUM(G5:G8)</f>
        <v>16000</v>
      </c>
      <c r="H9" s="15" t="n">
        <f aca="false">SUM(H5:H8)</f>
        <v>16000</v>
      </c>
      <c r="I9" s="15" t="n">
        <f aca="false">SUM(I5:I8)</f>
        <v>16000</v>
      </c>
      <c r="J9" s="15" t="n">
        <f aca="false">SUM(J5:J8)</f>
        <v>16000</v>
      </c>
      <c r="K9" s="15" t="n">
        <f aca="false">SUM(K5:K8)</f>
        <v>16000</v>
      </c>
      <c r="L9" s="15" t="n">
        <f aca="false">SUM(L5:L8)</f>
        <v>16000</v>
      </c>
      <c r="M9" s="15" t="n">
        <f aca="false">SUM(M5:M8)</f>
        <v>16000</v>
      </c>
      <c r="N9" s="15" t="n">
        <f aca="false">SUM(B9:M9)</f>
        <v>181500</v>
      </c>
      <c r="O9" s="15" t="n">
        <f aca="false">AVERAGE(B9:M9)</f>
        <v>15125</v>
      </c>
    </row>
    <row r="11" customFormat="false" ht="15" hidden="false" customHeight="true" outlineLevel="0" collapsed="false">
      <c r="A11" s="4" t="s">
        <v>55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customFormat="false" ht="15" hidden="false" customHeight="true" outlineLevel="0" collapsed="false">
      <c r="A12" s="1" t="s">
        <v>56</v>
      </c>
      <c r="B12" s="14" t="n">
        <f aca="false">Assumptions!$B$5*Assumptions!$B$15</f>
        <v>8000</v>
      </c>
      <c r="C12" s="14" t="n">
        <f aca="false">Assumptions!$B$5*Assumptions!$B$15</f>
        <v>8000</v>
      </c>
      <c r="D12" s="14" t="n">
        <f aca="false">Assumptions!$B$5*Assumptions!$B$15</f>
        <v>8000</v>
      </c>
      <c r="E12" s="14" t="n">
        <f aca="false">Assumptions!$B$5*Assumptions!$B$15</f>
        <v>8000</v>
      </c>
      <c r="F12" s="14" t="n">
        <f aca="false">Assumptions!$B$5*Assumptions!$B$15</f>
        <v>8000</v>
      </c>
      <c r="G12" s="14" t="n">
        <f aca="false">Assumptions!$B$5*Assumptions!$B$15</f>
        <v>8000</v>
      </c>
      <c r="H12" s="14" t="n">
        <f aca="false">Assumptions!$B$5*Assumptions!$B$15</f>
        <v>8000</v>
      </c>
      <c r="I12" s="14" t="n">
        <f aca="false">Assumptions!$B$5*Assumptions!$B$15</f>
        <v>8000</v>
      </c>
      <c r="J12" s="14" t="n">
        <f aca="false">Assumptions!$B$5*Assumptions!$B$15</f>
        <v>8000</v>
      </c>
      <c r="K12" s="14" t="n">
        <f aca="false">Assumptions!$B$5*Assumptions!$B$15</f>
        <v>8000</v>
      </c>
      <c r="L12" s="14" t="n">
        <f aca="false">Assumptions!$B$5*Assumptions!$B$15</f>
        <v>8000</v>
      </c>
      <c r="M12" s="14" t="n">
        <f aca="false">Assumptions!$B$5*Assumptions!$B$15</f>
        <v>8000</v>
      </c>
      <c r="N12" s="14" t="n">
        <f aca="false">SUM(B12:M12)</f>
        <v>96000</v>
      </c>
      <c r="O12" s="14" t="n">
        <f aca="false">AVERAGE(B12:M12)</f>
        <v>8000</v>
      </c>
    </row>
    <row r="13" customFormat="false" ht="15" hidden="false" customHeight="true" outlineLevel="0" collapsed="false">
      <c r="A13" s="1" t="s">
        <v>57</v>
      </c>
      <c r="B13" s="14" t="n">
        <f aca="false">IF(OR(Assumptions!$B$12=0,1&lt;Assumptions!$B$12),Assumptions!$B$6,0)</f>
        <v>1500</v>
      </c>
      <c r="C13" s="14" t="n">
        <f aca="false">IF(OR(Assumptions!$B$12=0,2&lt;Assumptions!$B$12),Assumptions!$B$7,0)</f>
        <v>3000</v>
      </c>
      <c r="D13" s="14" t="n">
        <f aca="false">IF(OR(Assumptions!$B$12=0,3&lt;Assumptions!$B$12),Assumptions!$B$7,0)</f>
        <v>3000</v>
      </c>
      <c r="E13" s="14" t="n">
        <f aca="false">IF(OR(Assumptions!$B$12=0,4&lt;Assumptions!$B$12),Assumptions!$B$7,0)</f>
        <v>3000</v>
      </c>
      <c r="F13" s="14" t="n">
        <f aca="false">IF(OR(Assumptions!$B$12=0,5&lt;Assumptions!$B$12),Assumptions!$B$7,0)</f>
        <v>3000</v>
      </c>
      <c r="G13" s="14" t="n">
        <f aca="false">IF(OR(Assumptions!$B$12=0,6&lt;Assumptions!$B$12),Assumptions!$B$7,0)</f>
        <v>3000</v>
      </c>
      <c r="H13" s="14" t="n">
        <f aca="false">IF(OR(Assumptions!$B$12=0,7&lt;Assumptions!$B$12),Assumptions!$B$7,0)</f>
        <v>3000</v>
      </c>
      <c r="I13" s="14" t="n">
        <f aca="false">IF(OR(Assumptions!$B$12=0,8&lt;Assumptions!$B$12),Assumptions!$B$7,0)</f>
        <v>3000</v>
      </c>
      <c r="J13" s="14" t="n">
        <f aca="false">IF(OR(Assumptions!$B$12=0,9&lt;Assumptions!$B$12),Assumptions!$B$7,0)</f>
        <v>3000</v>
      </c>
      <c r="K13" s="14" t="n">
        <f aca="false">IF(OR(Assumptions!$B$12=0,10&lt;Assumptions!$B$12),Assumptions!$B$7,0)</f>
        <v>0</v>
      </c>
      <c r="L13" s="14" t="n">
        <f aca="false">IF(OR(Assumptions!$B$12=0,11&lt;Assumptions!$B$12),Assumptions!$B$7,0)</f>
        <v>0</v>
      </c>
      <c r="M13" s="14" t="n">
        <f aca="false">IF(OR(Assumptions!$B$12=0,12&lt;Assumptions!$B$12),Assumptions!$B$7,0)</f>
        <v>0</v>
      </c>
      <c r="N13" s="14" t="n">
        <f aca="false">SUM(B13:M13)</f>
        <v>25500</v>
      </c>
      <c r="O13" s="14" t="n">
        <f aca="false">AVERAGE(B13:M13)</f>
        <v>2125</v>
      </c>
    </row>
    <row r="14" customFormat="false" ht="15" hidden="false" customHeight="true" outlineLevel="0" collapsed="false">
      <c r="A14" s="1" t="s">
        <v>58</v>
      </c>
      <c r="B14" s="14" t="n">
        <f aca="false">IF(AND(1&gt;=Assumptions!$B$9,OR(Assumptions!$B$13=0,1&lt;Assumptions!$B$13)),Assumptions!$B$8,0)</f>
        <v>0</v>
      </c>
      <c r="C14" s="14" t="n">
        <f aca="false">IF(AND(2&gt;=Assumptions!$B$9,OR(Assumptions!$B$13=0,2&lt;Assumptions!$B$13)),Assumptions!$B$8,0)</f>
        <v>0</v>
      </c>
      <c r="D14" s="14" t="n">
        <f aca="false">IF(AND(3&gt;=Assumptions!$B$9,OR(Assumptions!$B$13=0,3&lt;Assumptions!$B$13)),Assumptions!$B$8,0)</f>
        <v>0</v>
      </c>
      <c r="E14" s="14" t="n">
        <f aca="false">IF(AND(4&gt;=Assumptions!$B$9,OR(Assumptions!$B$13=0,4&lt;Assumptions!$B$13)),Assumptions!$B$8,0)</f>
        <v>3000</v>
      </c>
      <c r="F14" s="14" t="n">
        <f aca="false">IF(AND(5&gt;=Assumptions!$B$9,OR(Assumptions!$B$13=0,5&lt;Assumptions!$B$13)),Assumptions!$B$8,0)</f>
        <v>3000</v>
      </c>
      <c r="G14" s="14" t="n">
        <f aca="false">IF(AND(6&gt;=Assumptions!$B$9,OR(Assumptions!$B$13=0,6&lt;Assumptions!$B$13)),Assumptions!$B$8,0)</f>
        <v>3000</v>
      </c>
      <c r="H14" s="14" t="n">
        <f aca="false">IF(AND(7&gt;=Assumptions!$B$9,OR(Assumptions!$B$13=0,7&lt;Assumptions!$B$13)),Assumptions!$B$8,0)</f>
        <v>3000</v>
      </c>
      <c r="I14" s="14" t="n">
        <f aca="false">IF(AND(8&gt;=Assumptions!$B$9,OR(Assumptions!$B$13=0,8&lt;Assumptions!$B$13)),Assumptions!$B$8,0)</f>
        <v>3000</v>
      </c>
      <c r="J14" s="14" t="n">
        <f aca="false">IF(AND(9&gt;=Assumptions!$B$9,OR(Assumptions!$B$13=0,9&lt;Assumptions!$B$13)),Assumptions!$B$8,0)</f>
        <v>0</v>
      </c>
      <c r="K14" s="14" t="n">
        <f aca="false">IF(AND(10&gt;=Assumptions!$B$9,OR(Assumptions!$B$13=0,10&lt;Assumptions!$B$13)),Assumptions!$B$8,0)</f>
        <v>0</v>
      </c>
      <c r="L14" s="14" t="n">
        <f aca="false">IF(AND(11&gt;=Assumptions!$B$9,OR(Assumptions!$B$13=0,11&lt;Assumptions!$B$13)),Assumptions!$B$8,0)</f>
        <v>0</v>
      </c>
      <c r="M14" s="14" t="n">
        <f aca="false">IF(AND(12&gt;=Assumptions!$B$9,OR(Assumptions!$B$13=0,12&lt;Assumptions!$B$13)),Assumptions!$B$8,0)</f>
        <v>0</v>
      </c>
      <c r="N14" s="14" t="n">
        <f aca="false">SUM(B14:M14)</f>
        <v>15000</v>
      </c>
      <c r="O14" s="14" t="n">
        <f aca="false">AVERAGE(B14:M14)</f>
        <v>1250</v>
      </c>
    </row>
    <row r="15" customFormat="false" ht="15" hidden="false" customHeight="true" outlineLevel="0" collapsed="false">
      <c r="A15" s="1" t="s">
        <v>59</v>
      </c>
      <c r="B15" s="14" t="n">
        <f aca="false">Assumptions!$B$10*(1-Assumptions!$B$14)</f>
        <v>1000</v>
      </c>
      <c r="C15" s="14" t="n">
        <f aca="false">Assumptions!$B$10*(1-Assumptions!$B$14)</f>
        <v>1000</v>
      </c>
      <c r="D15" s="14" t="n">
        <f aca="false">Assumptions!$B$10*(1-Assumptions!$B$14)</f>
        <v>1000</v>
      </c>
      <c r="E15" s="14" t="n">
        <f aca="false">Assumptions!$B$10*(1-Assumptions!$B$14)</f>
        <v>1000</v>
      </c>
      <c r="F15" s="14" t="n">
        <f aca="false">Assumptions!$B$10*(1-Assumptions!$B$14)</f>
        <v>1000</v>
      </c>
      <c r="G15" s="14" t="n">
        <f aca="false">Assumptions!$B$10*(1-Assumptions!$B$14)</f>
        <v>1000</v>
      </c>
      <c r="H15" s="14" t="n">
        <f aca="false">Assumptions!$B$10*(1-Assumptions!$B$14)</f>
        <v>1000</v>
      </c>
      <c r="I15" s="14" t="n">
        <f aca="false">Assumptions!$B$10*(1-Assumptions!$B$14)</f>
        <v>1000</v>
      </c>
      <c r="J15" s="14" t="n">
        <f aca="false">Assumptions!$B$10*(1-Assumptions!$B$14)</f>
        <v>1000</v>
      </c>
      <c r="K15" s="14" t="n">
        <f aca="false">Assumptions!$B$10*(1-Assumptions!$B$14)</f>
        <v>1000</v>
      </c>
      <c r="L15" s="14" t="n">
        <f aca="false">Assumptions!$B$10*(1-Assumptions!$B$14)</f>
        <v>1000</v>
      </c>
      <c r="M15" s="14" t="n">
        <f aca="false">Assumptions!$B$10*(1-Assumptions!$B$14)</f>
        <v>1000</v>
      </c>
      <c r="N15" s="14" t="n">
        <f aca="false">SUM(B15:M15)</f>
        <v>12000</v>
      </c>
      <c r="O15" s="14" t="n">
        <f aca="false">AVERAGE(B15:M15)</f>
        <v>1000</v>
      </c>
    </row>
    <row r="16" customFormat="false" ht="15" hidden="false" customHeight="true" outlineLevel="0" collapsed="false">
      <c r="A16" s="1" t="s">
        <v>60</v>
      </c>
      <c r="B16" s="16" t="n">
        <f aca="false">SUM(B12:B15)</f>
        <v>10500</v>
      </c>
      <c r="C16" s="16" t="n">
        <f aca="false">SUM(C12:C15)</f>
        <v>12000</v>
      </c>
      <c r="D16" s="16" t="n">
        <f aca="false">SUM(D12:D15)</f>
        <v>12000</v>
      </c>
      <c r="E16" s="16" t="n">
        <f aca="false">SUM(E12:E15)</f>
        <v>15000</v>
      </c>
      <c r="F16" s="16" t="n">
        <f aca="false">SUM(F12:F15)</f>
        <v>15000</v>
      </c>
      <c r="G16" s="16" t="n">
        <f aca="false">SUM(G12:G15)</f>
        <v>15000</v>
      </c>
      <c r="H16" s="16" t="n">
        <f aca="false">SUM(H12:H15)</f>
        <v>15000</v>
      </c>
      <c r="I16" s="16" t="n">
        <f aca="false">SUM(I12:I15)</f>
        <v>15000</v>
      </c>
      <c r="J16" s="16" t="n">
        <f aca="false">SUM(J12:J15)</f>
        <v>12000</v>
      </c>
      <c r="K16" s="16" t="n">
        <f aca="false">SUM(K12:K15)</f>
        <v>9000</v>
      </c>
      <c r="L16" s="16" t="n">
        <f aca="false">SUM(L12:L15)</f>
        <v>9000</v>
      </c>
      <c r="M16" s="16" t="n">
        <f aca="false">SUM(M12:M15)</f>
        <v>9000</v>
      </c>
      <c r="N16" s="16" t="n">
        <f aca="false">SUM(B16:M16)</f>
        <v>148500</v>
      </c>
      <c r="O16" s="16" t="n">
        <f aca="false">AVERAGE(B16:M16)</f>
        <v>12375</v>
      </c>
    </row>
    <row r="18" customFormat="false" ht="15" hidden="false" customHeight="true" outlineLevel="0" collapsed="false">
      <c r="A18" s="4" t="s">
        <v>61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</row>
    <row r="19" customFormat="false" ht="15" hidden="false" customHeight="true" outlineLevel="0" collapsed="false">
      <c r="A19" s="1" t="s">
        <v>50</v>
      </c>
      <c r="B19" s="14" t="n">
        <f aca="false">Assumptions!$B$5</f>
        <v>8000</v>
      </c>
      <c r="C19" s="14" t="n">
        <f aca="false">Assumptions!$B$5</f>
        <v>8000</v>
      </c>
      <c r="D19" s="14" t="n">
        <f aca="false">Assumptions!$B$5</f>
        <v>8000</v>
      </c>
      <c r="E19" s="14" t="n">
        <f aca="false">Assumptions!$B$5</f>
        <v>8000</v>
      </c>
      <c r="F19" s="14" t="n">
        <f aca="false">Assumptions!$B$5</f>
        <v>8000</v>
      </c>
      <c r="G19" s="14" t="n">
        <f aca="false">Assumptions!$B$5</f>
        <v>8000</v>
      </c>
      <c r="H19" s="14" t="n">
        <f aca="false">Assumptions!$B$5</f>
        <v>8000</v>
      </c>
      <c r="I19" s="14" t="n">
        <f aca="false">Assumptions!$B$5</f>
        <v>8000</v>
      </c>
      <c r="J19" s="14" t="n">
        <f aca="false">Assumptions!$B$5</f>
        <v>8000</v>
      </c>
      <c r="K19" s="14" t="n">
        <f aca="false">Assumptions!$B$5</f>
        <v>8000</v>
      </c>
      <c r="L19" s="14" t="n">
        <f aca="false">Assumptions!$B$5</f>
        <v>8000</v>
      </c>
      <c r="M19" s="14" t="n">
        <f aca="false">Assumptions!$B$5</f>
        <v>8000</v>
      </c>
      <c r="N19" s="14" t="n">
        <f aca="false">SUM(B19:M19)</f>
        <v>96000</v>
      </c>
      <c r="O19" s="14" t="n">
        <f aca="false">AVERAGE(B19:M19)</f>
        <v>8000</v>
      </c>
    </row>
    <row r="20" customFormat="false" ht="15" hidden="false" customHeight="true" outlineLevel="0" collapsed="false">
      <c r="A20" s="1" t="s">
        <v>62</v>
      </c>
      <c r="B20" s="14" t="n">
        <f aca="false">Assumptions!$B$6</f>
        <v>1500</v>
      </c>
      <c r="C20" s="14" t="n">
        <f aca="false">Assumptions!$B$7</f>
        <v>3000</v>
      </c>
      <c r="D20" s="14" t="n">
        <f aca="false">Assumptions!$B$7</f>
        <v>3000</v>
      </c>
      <c r="E20" s="14" t="n">
        <f aca="false">Assumptions!$B$7</f>
        <v>3000</v>
      </c>
      <c r="F20" s="14" t="n">
        <f aca="false">Assumptions!$B$7</f>
        <v>3000</v>
      </c>
      <c r="G20" s="14" t="n">
        <f aca="false">Assumptions!$B$7</f>
        <v>3000</v>
      </c>
      <c r="H20" s="14" t="n">
        <f aca="false">Assumptions!$B$7</f>
        <v>3000</v>
      </c>
      <c r="I20" s="14" t="n">
        <f aca="false">Assumptions!$B$7</f>
        <v>3000</v>
      </c>
      <c r="J20" s="14" t="n">
        <f aca="false">Assumptions!$B$7</f>
        <v>3000</v>
      </c>
      <c r="K20" s="14" t="n">
        <f aca="false">Assumptions!$B$7</f>
        <v>3000</v>
      </c>
      <c r="L20" s="14" t="n">
        <f aca="false">Assumptions!$B$7</f>
        <v>3000</v>
      </c>
      <c r="M20" s="14" t="n">
        <f aca="false">Assumptions!$B$7</f>
        <v>3000</v>
      </c>
      <c r="N20" s="14" t="n">
        <f aca="false">SUM(B20:M20)</f>
        <v>34500</v>
      </c>
      <c r="O20" s="14" t="n">
        <f aca="false">AVERAGE(B20:M20)</f>
        <v>2875</v>
      </c>
    </row>
    <row r="21" customFormat="false" ht="15" hidden="false" customHeight="true" outlineLevel="0" collapsed="false">
      <c r="A21" s="1" t="s">
        <v>52</v>
      </c>
      <c r="B21" s="14" t="n">
        <f aca="false">IF(1&gt;=Assumptions!$B$9,Assumptions!$B$8,0)</f>
        <v>0</v>
      </c>
      <c r="C21" s="14" t="n">
        <f aca="false">IF(2&gt;=Assumptions!$B$9,Assumptions!$B$8,0)</f>
        <v>0</v>
      </c>
      <c r="D21" s="14" t="n">
        <f aca="false">IF(3&gt;=Assumptions!$B$9,Assumptions!$B$8,0)</f>
        <v>0</v>
      </c>
      <c r="E21" s="14" t="n">
        <f aca="false">IF(4&gt;=Assumptions!$B$9,Assumptions!$B$8,0)</f>
        <v>3000</v>
      </c>
      <c r="F21" s="14" t="n">
        <f aca="false">IF(5&gt;=Assumptions!$B$9,Assumptions!$B$8,0)</f>
        <v>3000</v>
      </c>
      <c r="G21" s="14" t="n">
        <f aca="false">IF(6&gt;=Assumptions!$B$9,Assumptions!$B$8,0)</f>
        <v>3000</v>
      </c>
      <c r="H21" s="14" t="n">
        <f aca="false">IF(7&gt;=Assumptions!$B$9,Assumptions!$B$8,0)</f>
        <v>3000</v>
      </c>
      <c r="I21" s="14" t="n">
        <f aca="false">IF(8&gt;=Assumptions!$B$9,Assumptions!$B$8,0)</f>
        <v>3000</v>
      </c>
      <c r="J21" s="14" t="n">
        <f aca="false">IF(9&gt;=Assumptions!$B$9,Assumptions!$B$8,0)</f>
        <v>3000</v>
      </c>
      <c r="K21" s="14" t="n">
        <f aca="false">IF(10&gt;=Assumptions!$B$9,Assumptions!$B$8,0)</f>
        <v>3000</v>
      </c>
      <c r="L21" s="14" t="n">
        <f aca="false">IF(11&gt;=Assumptions!$B$9,Assumptions!$B$8,0)</f>
        <v>3000</v>
      </c>
      <c r="M21" s="14" t="n">
        <f aca="false">IF(12&gt;=Assumptions!$B$9,Assumptions!$B$8,0)</f>
        <v>3000</v>
      </c>
      <c r="N21" s="14" t="n">
        <f aca="false">SUM(B21:M21)</f>
        <v>27000</v>
      </c>
      <c r="O21" s="14" t="n">
        <f aca="false">AVERAGE(B21:M21)</f>
        <v>2250</v>
      </c>
    </row>
    <row r="22" customFormat="false" ht="15" hidden="false" customHeight="true" outlineLevel="0" collapsed="false">
      <c r="A22" s="1" t="s">
        <v>63</v>
      </c>
      <c r="B22" s="14" t="n">
        <f aca="false">Assumptions!$B$10*(1+Assumptions!$B$16)</f>
        <v>2500</v>
      </c>
      <c r="C22" s="14" t="n">
        <f aca="false">Assumptions!$B$10*(1+Assumptions!$B$16)</f>
        <v>2500</v>
      </c>
      <c r="D22" s="14" t="n">
        <f aca="false">Assumptions!$B$10*(1+Assumptions!$B$16)</f>
        <v>2500</v>
      </c>
      <c r="E22" s="14" t="n">
        <f aca="false">Assumptions!$B$10*(1+Assumptions!$B$16)</f>
        <v>2500</v>
      </c>
      <c r="F22" s="14" t="n">
        <f aca="false">Assumptions!$B$10*(1+Assumptions!$B$16)</f>
        <v>2500</v>
      </c>
      <c r="G22" s="14" t="n">
        <f aca="false">Assumptions!$B$10*(1+Assumptions!$B$16)</f>
        <v>2500</v>
      </c>
      <c r="H22" s="14" t="n">
        <f aca="false">Assumptions!$B$10*(1+Assumptions!$B$16)</f>
        <v>2500</v>
      </c>
      <c r="I22" s="14" t="n">
        <f aca="false">Assumptions!$B$10*(1+Assumptions!$B$16)</f>
        <v>2500</v>
      </c>
      <c r="J22" s="14" t="n">
        <f aca="false">Assumptions!$B$10*(1+Assumptions!$B$16)</f>
        <v>2500</v>
      </c>
      <c r="K22" s="14" t="n">
        <f aca="false">Assumptions!$B$10*(1+Assumptions!$B$16)</f>
        <v>2500</v>
      </c>
      <c r="L22" s="14" t="n">
        <f aca="false">Assumptions!$B$10*(1+Assumptions!$B$16)</f>
        <v>2500</v>
      </c>
      <c r="M22" s="14" t="n">
        <f aca="false">Assumptions!$B$10*(1+Assumptions!$B$16)</f>
        <v>2500</v>
      </c>
      <c r="N22" s="14" t="n">
        <f aca="false">SUM(B22:M22)</f>
        <v>30000</v>
      </c>
      <c r="O22" s="14" t="n">
        <f aca="false">AVERAGE(B22:M22)</f>
        <v>2500</v>
      </c>
    </row>
    <row r="23" customFormat="false" ht="15" hidden="false" customHeight="true" outlineLevel="0" collapsed="false">
      <c r="A23" s="1" t="s">
        <v>64</v>
      </c>
      <c r="B23" s="17" t="n">
        <f aca="false">SUM(B19:B22)</f>
        <v>12000</v>
      </c>
      <c r="C23" s="17" t="n">
        <f aca="false">SUM(C19:C22)</f>
        <v>13500</v>
      </c>
      <c r="D23" s="17" t="n">
        <f aca="false">SUM(D19:D22)</f>
        <v>13500</v>
      </c>
      <c r="E23" s="17" t="n">
        <f aca="false">SUM(E19:E22)</f>
        <v>16500</v>
      </c>
      <c r="F23" s="17" t="n">
        <f aca="false">SUM(F19:F22)</f>
        <v>16500</v>
      </c>
      <c r="G23" s="17" t="n">
        <f aca="false">SUM(G19:G22)</f>
        <v>16500</v>
      </c>
      <c r="H23" s="17" t="n">
        <f aca="false">SUM(H19:H22)</f>
        <v>16500</v>
      </c>
      <c r="I23" s="17" t="n">
        <f aca="false">SUM(I19:I22)</f>
        <v>16500</v>
      </c>
      <c r="J23" s="17" t="n">
        <f aca="false">SUM(J19:J22)</f>
        <v>16500</v>
      </c>
      <c r="K23" s="17" t="n">
        <f aca="false">SUM(K19:K22)</f>
        <v>16500</v>
      </c>
      <c r="L23" s="17" t="n">
        <f aca="false">SUM(L19:L22)</f>
        <v>16500</v>
      </c>
      <c r="M23" s="17" t="n">
        <f aca="false">SUM(M19:M22)</f>
        <v>16500</v>
      </c>
      <c r="N23" s="17" t="n">
        <f aca="false">SUM(B23:M23)</f>
        <v>187500</v>
      </c>
      <c r="O23" s="17" t="n">
        <f aca="false">AVERAGE(B23:M23)</f>
        <v>15625</v>
      </c>
    </row>
  </sheetData>
  <mergeCells count="4">
    <mergeCell ref="A1:O1"/>
    <mergeCell ref="A4:O4"/>
    <mergeCell ref="A11:O11"/>
    <mergeCell ref="A18:O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3" min="2" style="1" width="16"/>
  </cols>
  <sheetData>
    <row r="1" customFormat="false" ht="17.25" hidden="false" customHeight="true" outlineLevel="0" collapsed="false">
      <c r="A1" s="2" t="s">
        <v>65</v>
      </c>
      <c r="B1" s="2"/>
      <c r="C1" s="2"/>
    </row>
    <row r="3" customFormat="false" ht="15" hidden="false" customHeight="true" outlineLevel="0" collapsed="false">
      <c r="A3" s="13" t="s">
        <v>66</v>
      </c>
      <c r="B3" s="13" t="s">
        <v>67</v>
      </c>
      <c r="C3" s="13" t="s">
        <v>68</v>
      </c>
    </row>
    <row r="4" customFormat="false" ht="15" hidden="false" customHeight="true" outlineLevel="0" collapsed="false">
      <c r="A4" s="1" t="s">
        <v>69</v>
      </c>
      <c r="B4" s="18" t="n">
        <f aca="false">Forecast!N9</f>
        <v>181500</v>
      </c>
      <c r="C4" s="18" t="n">
        <f aca="false">Forecast!O9</f>
        <v>15125</v>
      </c>
    </row>
    <row r="5" customFormat="false" ht="15" hidden="false" customHeight="true" outlineLevel="0" collapsed="false">
      <c r="A5" s="1" t="s">
        <v>70</v>
      </c>
      <c r="B5" s="18" t="n">
        <f aca="false">Forecast!N16</f>
        <v>148500</v>
      </c>
      <c r="C5" s="18" t="n">
        <f aca="false">Forecast!O16</f>
        <v>12375</v>
      </c>
    </row>
    <row r="6" customFormat="false" ht="15" hidden="false" customHeight="true" outlineLevel="0" collapsed="false">
      <c r="A6" s="1" t="s">
        <v>71</v>
      </c>
      <c r="B6" s="18" t="n">
        <f aca="false">Forecast!N23</f>
        <v>187500</v>
      </c>
      <c r="C6" s="18" t="n">
        <f aca="false">Forecast!O23</f>
        <v>15625</v>
      </c>
    </row>
    <row r="8" customFormat="false" ht="15" hidden="false" customHeight="true" outlineLevel="0" collapsed="false">
      <c r="A8" s="4" t="s">
        <v>72</v>
      </c>
      <c r="B8" s="4"/>
      <c r="C8" s="4"/>
    </row>
    <row r="9" customFormat="false" ht="15" hidden="false" customHeight="true" outlineLevel="0" collapsed="false">
      <c r="A9" s="1" t="s">
        <v>50</v>
      </c>
      <c r="B9" s="14" t="n">
        <f aca="false">Forecast!N5</f>
        <v>96000</v>
      </c>
      <c r="C9" s="19" t="n">
        <f aca="false">B9/$B$4</f>
        <v>0.528925619834711</v>
      </c>
    </row>
    <row r="10" customFormat="false" ht="15" hidden="false" customHeight="true" outlineLevel="0" collapsed="false">
      <c r="A10" s="1" t="s">
        <v>51</v>
      </c>
      <c r="B10" s="14" t="n">
        <f aca="false">Forecast!N6</f>
        <v>34500</v>
      </c>
      <c r="C10" s="19" t="n">
        <f aca="false">B10/$B$4</f>
        <v>0.190082644628099</v>
      </c>
    </row>
    <row r="11" customFormat="false" ht="15" hidden="false" customHeight="true" outlineLevel="0" collapsed="false">
      <c r="A11" s="1" t="s">
        <v>73</v>
      </c>
      <c r="B11" s="14" t="n">
        <f aca="false">Forecast!N7</f>
        <v>27000</v>
      </c>
      <c r="C11" s="19" t="n">
        <f aca="false">B11/$B$4</f>
        <v>0.148760330578512</v>
      </c>
    </row>
    <row r="12" customFormat="false" ht="15" hidden="false" customHeight="true" outlineLevel="0" collapsed="false">
      <c r="A12" s="1" t="s">
        <v>74</v>
      </c>
      <c r="B12" s="14" t="n">
        <f aca="false">Forecast!N8</f>
        <v>24000</v>
      </c>
      <c r="C12" s="19" t="n">
        <f aca="false">B12/$B$4</f>
        <v>0.132231404958678</v>
      </c>
    </row>
    <row r="13" customFormat="false" ht="15" hidden="false" customHeight="true" outlineLevel="0" collapsed="false">
      <c r="A13" s="20" t="s">
        <v>47</v>
      </c>
      <c r="B13" s="21" t="n">
        <f aca="false">SUM(B9:B12)</f>
        <v>181500</v>
      </c>
      <c r="C13" s="22" t="n">
        <f aca="false">SUM(C9:C12)</f>
        <v>1</v>
      </c>
    </row>
    <row r="15" customFormat="false" ht="15" hidden="false" customHeight="true" outlineLevel="0" collapsed="false">
      <c r="A15" s="4" t="s">
        <v>75</v>
      </c>
      <c r="B15" s="4"/>
      <c r="C15" s="4"/>
    </row>
    <row r="16" customFormat="false" ht="23.25" hidden="false" customHeight="true" outlineLevel="0" collapsed="false">
      <c r="A16" s="23" t="s">
        <v>76</v>
      </c>
      <c r="B16" s="23"/>
      <c r="C16" s="23"/>
    </row>
    <row r="17" customFormat="false" ht="23.25" hidden="false" customHeight="true" outlineLevel="0" collapsed="false">
      <c r="A17" s="23" t="s">
        <v>77</v>
      </c>
      <c r="B17" s="23"/>
      <c r="C17" s="23"/>
    </row>
    <row r="18" customFormat="false" ht="23.25" hidden="false" customHeight="true" outlineLevel="0" collapsed="false">
      <c r="A18" s="23" t="s">
        <v>78</v>
      </c>
      <c r="B18" s="23"/>
      <c r="C18" s="23"/>
    </row>
    <row r="19" customFormat="false" ht="23.25" hidden="false" customHeight="true" outlineLevel="0" collapsed="false">
      <c r="A19" s="23" t="s">
        <v>79</v>
      </c>
      <c r="B19" s="23"/>
      <c r="C19" s="23"/>
    </row>
    <row r="20" customFormat="false" ht="23.25" hidden="false" customHeight="true" outlineLevel="0" collapsed="false">
      <c r="A20" s="23" t="s">
        <v>80</v>
      </c>
      <c r="B20" s="23"/>
      <c r="C20" s="23"/>
    </row>
    <row r="21" customFormat="false" ht="23.25" hidden="false" customHeight="true" outlineLevel="0" collapsed="false">
      <c r="A21" s="23" t="s">
        <v>81</v>
      </c>
      <c r="B21" s="23"/>
      <c r="C21" s="23"/>
    </row>
    <row r="22" customFormat="false" ht="15" hidden="false" customHeight="false" outlineLevel="0" collapsed="false">
      <c r="A22" s="24" t="s">
        <v>82</v>
      </c>
      <c r="B22" s="24"/>
      <c r="C22" s="24"/>
    </row>
    <row r="23" customFormat="false" ht="15" hidden="false" customHeight="false" outlineLevel="0" collapsed="false">
      <c r="A23" s="13" t="s">
        <v>66</v>
      </c>
      <c r="B23" s="13" t="s">
        <v>83</v>
      </c>
      <c r="C23" s="13" t="s">
        <v>84</v>
      </c>
    </row>
    <row r="24" customFormat="false" ht="15" hidden="false" customHeight="false" outlineLevel="0" collapsed="false">
      <c r="A24" s="1" t="s">
        <v>69</v>
      </c>
      <c r="B24" s="25" t="n">
        <f aca="false">Taxes!B42</f>
        <v>159086.342092</v>
      </c>
      <c r="C24" s="25" t="n">
        <f aca="false">Taxes!B43</f>
        <v>13257.1951743333</v>
      </c>
    </row>
    <row r="25" customFormat="false" ht="15" hidden="false" customHeight="false" outlineLevel="0" collapsed="false">
      <c r="A25" s="1" t="s">
        <v>85</v>
      </c>
      <c r="B25" s="25" t="n">
        <f aca="false">Taxes!C42</f>
        <v>136146.77146</v>
      </c>
      <c r="C25" s="25" t="n">
        <f aca="false">Taxes!C43</f>
        <v>11345.5642883333</v>
      </c>
    </row>
    <row r="26" customFormat="false" ht="15" hidden="false" customHeight="false" outlineLevel="0" collapsed="false">
      <c r="A26" s="1" t="s">
        <v>71</v>
      </c>
      <c r="B26" s="25" t="n">
        <f aca="false">Taxes!D42</f>
        <v>163257.173116</v>
      </c>
      <c r="C26" s="25" t="n">
        <f aca="false">Taxes!D43</f>
        <v>13604.7644263333</v>
      </c>
    </row>
    <row r="28" customFormat="false" ht="15" hidden="false" customHeight="false" outlineLevel="0" collapsed="false">
      <c r="A28" s="24" t="s">
        <v>86</v>
      </c>
      <c r="B28" s="24"/>
      <c r="C28" s="24"/>
    </row>
    <row r="29" customFormat="false" ht="15" hidden="false" customHeight="false" outlineLevel="0" collapsed="false">
      <c r="A29" s="13" t="s">
        <v>66</v>
      </c>
      <c r="B29" s="13" t="s">
        <v>87</v>
      </c>
      <c r="C29" s="13" t="s">
        <v>88</v>
      </c>
    </row>
    <row r="30" customFormat="false" ht="15" hidden="false" customHeight="false" outlineLevel="0" collapsed="false">
      <c r="A30" s="1" t="s">
        <v>69</v>
      </c>
      <c r="B30" s="25" t="n">
        <f aca="false">Taxes!B41</f>
        <v>22413.657908</v>
      </c>
      <c r="C30" s="26" t="n">
        <f aca="false">Taxes!B44</f>
        <v>0.123491228143251</v>
      </c>
    </row>
    <row r="31" customFormat="false" ht="15" hidden="false" customHeight="false" outlineLevel="0" collapsed="false">
      <c r="A31" s="1" t="s">
        <v>85</v>
      </c>
      <c r="B31" s="25" t="n">
        <f aca="false">Taxes!C41</f>
        <v>12353.22854</v>
      </c>
      <c r="C31" s="26" t="n">
        <f aca="false">Taxes!C44</f>
        <v>0.0831867241750842</v>
      </c>
    </row>
    <row r="32" customFormat="false" ht="15" hidden="false" customHeight="false" outlineLevel="0" collapsed="false">
      <c r="A32" s="1" t="s">
        <v>71</v>
      </c>
      <c r="B32" s="25" t="n">
        <f aca="false">Taxes!D41</f>
        <v>24242.826884</v>
      </c>
      <c r="C32" s="26" t="n">
        <f aca="false">Taxes!D44</f>
        <v>0.129295076714667</v>
      </c>
    </row>
  </sheetData>
  <mergeCells count="11">
    <mergeCell ref="A1:C1"/>
    <mergeCell ref="A8:C8"/>
    <mergeCell ref="A15:C15"/>
    <mergeCell ref="A16:C16"/>
    <mergeCell ref="A17:C17"/>
    <mergeCell ref="A18:C18"/>
    <mergeCell ref="A19:C19"/>
    <mergeCell ref="A20:C20"/>
    <mergeCell ref="A21:C21"/>
    <mergeCell ref="A22:C22"/>
    <mergeCell ref="A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27" t="s">
        <v>89</v>
      </c>
      <c r="B1" s="27"/>
      <c r="C1" s="27"/>
      <c r="D1" s="27"/>
      <c r="E1" s="27"/>
    </row>
    <row r="2" customFormat="false" ht="15" hidden="false" customHeight="false" outlineLevel="0" collapsed="false">
      <c r="A2" s="28" t="s">
        <v>90</v>
      </c>
      <c r="B2" s="28"/>
      <c r="C2" s="28"/>
      <c r="D2" s="28"/>
      <c r="E2" s="28"/>
    </row>
    <row r="4" customFormat="false" ht="15" hidden="false" customHeight="false" outlineLevel="0" collapsed="false">
      <c r="A4" s="24" t="s">
        <v>91</v>
      </c>
      <c r="B4" s="24"/>
      <c r="C4" s="24"/>
      <c r="D4" s="24"/>
      <c r="E4" s="24"/>
    </row>
    <row r="5" customFormat="false" ht="15" hidden="false" customHeight="false" outlineLevel="0" collapsed="false">
      <c r="A5" s="0" t="s">
        <v>92</v>
      </c>
      <c r="B5" s="29" t="n">
        <v>30000</v>
      </c>
      <c r="C5" s="30" t="s">
        <v>93</v>
      </c>
    </row>
    <row r="6" customFormat="false" ht="15" hidden="false" customHeight="false" outlineLevel="0" collapsed="false">
      <c r="A6" s="0" t="s">
        <v>94</v>
      </c>
      <c r="B6" s="31" t="n">
        <v>4</v>
      </c>
      <c r="C6" s="30" t="s">
        <v>95</v>
      </c>
    </row>
    <row r="7" customFormat="false" ht="15" hidden="false" customHeight="false" outlineLevel="0" collapsed="false">
      <c r="A7" s="0" t="s">
        <v>96</v>
      </c>
      <c r="B7" s="32" t="n">
        <v>0</v>
      </c>
      <c r="C7" s="30" t="s">
        <v>95</v>
      </c>
    </row>
    <row r="8" customFormat="false" ht="15" hidden="false" customHeight="false" outlineLevel="0" collapsed="false">
      <c r="A8" s="0" t="s">
        <v>97</v>
      </c>
      <c r="B8" s="33" t="n">
        <v>0</v>
      </c>
      <c r="C8" s="30" t="s">
        <v>98</v>
      </c>
    </row>
    <row r="9" customFormat="false" ht="15" hidden="false" customHeight="false" outlineLevel="0" collapsed="false">
      <c r="A9" s="0" t="s">
        <v>99</v>
      </c>
      <c r="B9" s="34" t="n">
        <v>0.9235</v>
      </c>
      <c r="C9" s="30" t="s">
        <v>100</v>
      </c>
    </row>
    <row r="10" customFormat="false" ht="15" hidden="false" customHeight="false" outlineLevel="0" collapsed="false">
      <c r="A10" s="0" t="s">
        <v>101</v>
      </c>
      <c r="B10" s="35" t="n">
        <v>0.153</v>
      </c>
      <c r="C10" s="30" t="s">
        <v>102</v>
      </c>
    </row>
    <row r="11" customFormat="false" ht="15" hidden="false" customHeight="false" outlineLevel="0" collapsed="false">
      <c r="A11" s="0" t="s">
        <v>103</v>
      </c>
      <c r="B11" s="35" t="n">
        <v>0.2</v>
      </c>
      <c r="C11" s="30" t="s">
        <v>104</v>
      </c>
    </row>
    <row r="13" customFormat="false" ht="15" hidden="false" customHeight="false" outlineLevel="0" collapsed="false">
      <c r="A13" s="24" t="s">
        <v>105</v>
      </c>
      <c r="B13" s="24"/>
      <c r="C13" s="24"/>
      <c r="D13" s="24"/>
      <c r="E13" s="24"/>
    </row>
    <row r="14" customFormat="false" ht="15" hidden="false" customHeight="false" outlineLevel="0" collapsed="false">
      <c r="A14" s="36" t="s">
        <v>106</v>
      </c>
      <c r="B14" s="36" t="s">
        <v>107</v>
      </c>
    </row>
    <row r="15" customFormat="false" ht="15" hidden="false" customHeight="false" outlineLevel="0" collapsed="false">
      <c r="A15" s="29" t="n">
        <v>23850</v>
      </c>
      <c r="B15" s="37" t="n">
        <v>0.1</v>
      </c>
    </row>
    <row r="16" customFormat="false" ht="15" hidden="false" customHeight="false" outlineLevel="0" collapsed="false">
      <c r="A16" s="29" t="n">
        <v>96950</v>
      </c>
      <c r="B16" s="37" t="n">
        <v>0.12</v>
      </c>
    </row>
    <row r="17" customFormat="false" ht="15" hidden="false" customHeight="false" outlineLevel="0" collapsed="false">
      <c r="A17" s="29" t="n">
        <v>206700</v>
      </c>
      <c r="B17" s="37" t="n">
        <v>0.22</v>
      </c>
    </row>
    <row r="18" customFormat="false" ht="15" hidden="false" customHeight="false" outlineLevel="0" collapsed="false">
      <c r="A18" s="29" t="n">
        <v>394600</v>
      </c>
      <c r="B18" s="37" t="n">
        <v>0.24</v>
      </c>
    </row>
    <row r="19" customFormat="false" ht="15" hidden="false" customHeight="false" outlineLevel="0" collapsed="false">
      <c r="A19" s="29" t="n">
        <v>501050</v>
      </c>
      <c r="B19" s="37" t="n">
        <v>0.32</v>
      </c>
    </row>
    <row r="20" customFormat="false" ht="15" hidden="false" customHeight="false" outlineLevel="0" collapsed="false">
      <c r="A20" s="29" t="n">
        <v>751600</v>
      </c>
      <c r="B20" s="37" t="n">
        <v>0.35</v>
      </c>
    </row>
    <row r="21" customFormat="false" ht="15" hidden="false" customHeight="false" outlineLevel="0" collapsed="false">
      <c r="A21" s="29" t="n">
        <v>10000000</v>
      </c>
      <c r="B21" s="37" t="n">
        <v>0.37</v>
      </c>
    </row>
    <row r="24" customFormat="false" ht="15" hidden="false" customHeight="false" outlineLevel="0" collapsed="false">
      <c r="A24" s="24" t="s">
        <v>108</v>
      </c>
      <c r="B24" s="24"/>
      <c r="C24" s="24"/>
      <c r="D24" s="24"/>
      <c r="E24" s="24"/>
    </row>
    <row r="25" customFormat="false" ht="15" hidden="false" customHeight="false" outlineLevel="0" collapsed="false">
      <c r="A25" s="13" t="s">
        <v>109</v>
      </c>
      <c r="B25" s="13" t="s">
        <v>69</v>
      </c>
      <c r="C25" s="13" t="s">
        <v>85</v>
      </c>
      <c r="D25" s="13" t="s">
        <v>71</v>
      </c>
    </row>
    <row r="26" customFormat="false" ht="15" hidden="false" customHeight="false" outlineLevel="0" collapsed="false">
      <c r="A26" s="0" t="s">
        <v>110</v>
      </c>
      <c r="B26" s="25" t="n">
        <f aca="false">Forecast!N5</f>
        <v>96000</v>
      </c>
      <c r="C26" s="25" t="n">
        <f aca="false">Forecast!N12</f>
        <v>96000</v>
      </c>
      <c r="D26" s="25" t="n">
        <f aca="false">Forecast!N19</f>
        <v>96000</v>
      </c>
    </row>
    <row r="27" customFormat="false" ht="15" hidden="false" customHeight="false" outlineLevel="0" collapsed="false">
      <c r="A27" s="0" t="s">
        <v>111</v>
      </c>
      <c r="B27" s="25" t="n">
        <f aca="false">(Forecast!N6+Forecast!N7+Forecast!N8)</f>
        <v>85500</v>
      </c>
      <c r="C27" s="25" t="n">
        <f aca="false">(Forecast!N13+Forecast!N14+Forecast!N15)</f>
        <v>52500</v>
      </c>
      <c r="D27" s="25" t="n">
        <f aca="false">(Forecast!N20+Forecast!N21+Forecast!N22)</f>
        <v>91500</v>
      </c>
    </row>
    <row r="28" customFormat="false" ht="15" hidden="false" customHeight="false" outlineLevel="0" collapsed="false">
      <c r="A28" s="0" t="s">
        <v>112</v>
      </c>
      <c r="B28" s="38" t="n">
        <f aca="false">B26+B27</f>
        <v>181500</v>
      </c>
      <c r="C28" s="38" t="n">
        <f aca="false">C26+C27</f>
        <v>148500</v>
      </c>
      <c r="D28" s="38" t="n">
        <f aca="false">D26+D27</f>
        <v>187500</v>
      </c>
    </row>
    <row r="29" customFormat="false" ht="15" hidden="false" customHeight="false" outlineLevel="0" collapsed="false">
      <c r="A29" s="0" t="s">
        <v>113</v>
      </c>
      <c r="B29" s="38" t="n">
        <f aca="false">B27*$B$9</f>
        <v>78959.25</v>
      </c>
      <c r="C29" s="38" t="n">
        <f aca="false">C27*$B$9</f>
        <v>48483.75</v>
      </c>
      <c r="D29" s="38" t="n">
        <f aca="false">D27*$B$9</f>
        <v>84500.25</v>
      </c>
    </row>
    <row r="30" customFormat="false" ht="15" hidden="false" customHeight="false" outlineLevel="0" collapsed="false">
      <c r="A30" s="0" t="s">
        <v>114</v>
      </c>
      <c r="B30" s="38" t="n">
        <f aca="false">B29*$B$10</f>
        <v>12080.76525</v>
      </c>
      <c r="C30" s="38" t="n">
        <f aca="false">C29*$B$10</f>
        <v>7418.01375</v>
      </c>
      <c r="D30" s="38" t="n">
        <f aca="false">D29*$B$10</f>
        <v>12928.53825</v>
      </c>
    </row>
    <row r="31" customFormat="false" ht="15" hidden="false" customHeight="false" outlineLevel="0" collapsed="false">
      <c r="A31" s="0" t="s">
        <v>115</v>
      </c>
      <c r="B31" s="38" t="n">
        <f aca="false">B30/2</f>
        <v>6040.382625</v>
      </c>
      <c r="C31" s="38" t="n">
        <f aca="false">C30/2</f>
        <v>3709.006875</v>
      </c>
      <c r="D31" s="38" t="n">
        <f aca="false">D30/2</f>
        <v>6464.269125</v>
      </c>
    </row>
    <row r="32" customFormat="false" ht="15" hidden="false" customHeight="false" outlineLevel="0" collapsed="false">
      <c r="A32" s="0" t="s">
        <v>116</v>
      </c>
      <c r="B32" s="38" t="n">
        <f aca="false">B26+B27-B31</f>
        <v>175459.617375</v>
      </c>
      <c r="C32" s="38" t="n">
        <f aca="false">C26+C27-C31</f>
        <v>144790.993125</v>
      </c>
      <c r="D32" s="38" t="n">
        <f aca="false">D26+D27-D31</f>
        <v>181035.730875</v>
      </c>
    </row>
    <row r="33" customFormat="false" ht="15" hidden="false" customHeight="false" outlineLevel="0" collapsed="false">
      <c r="A33" s="0" t="s">
        <v>117</v>
      </c>
      <c r="B33" s="38" t="n">
        <f aca="false">B27-B31</f>
        <v>79459.617375</v>
      </c>
      <c r="C33" s="38" t="n">
        <f aca="false">C27-C31</f>
        <v>48790.993125</v>
      </c>
      <c r="D33" s="38" t="n">
        <f aca="false">D27-D31</f>
        <v>85035.730875</v>
      </c>
    </row>
    <row r="34" customFormat="false" ht="15" hidden="false" customHeight="false" outlineLevel="0" collapsed="false">
      <c r="A34" s="0" t="s">
        <v>118</v>
      </c>
      <c r="B34" s="38" t="n">
        <f aca="false">MIN(B33*$B$11,MAX(0,(B32-$B$5))*$B$11)</f>
        <v>15891.923475</v>
      </c>
      <c r="C34" s="38" t="n">
        <f aca="false">MIN(C33*$B$11,MAX(0,(C32-$B$5))*$B$11)</f>
        <v>9758.198625</v>
      </c>
      <c r="D34" s="38" t="n">
        <f aca="false">MIN(D33*$B$11,MAX(0,(D32-$B$5))*$B$11)</f>
        <v>17007.146175</v>
      </c>
    </row>
    <row r="35" customFormat="false" ht="15" hidden="false" customHeight="false" outlineLevel="0" collapsed="false">
      <c r="A35" s="0" t="s">
        <v>119</v>
      </c>
      <c r="B35" s="38" t="n">
        <f aca="false">$B$5</f>
        <v>30000</v>
      </c>
      <c r="C35" s="38" t="n">
        <f aca="false">$B$5</f>
        <v>30000</v>
      </c>
      <c r="D35" s="38" t="n">
        <f aca="false">$B$5</f>
        <v>30000</v>
      </c>
    </row>
    <row r="36" customFormat="false" ht="15" hidden="false" customHeight="false" outlineLevel="0" collapsed="false">
      <c r="A36" s="0" t="s">
        <v>120</v>
      </c>
      <c r="B36" s="38" t="n">
        <f aca="false">MAX(0,B32-B34-B35)</f>
        <v>129567.6939</v>
      </c>
      <c r="C36" s="38" t="n">
        <f aca="false">MAX(0,C32-C34-C35)</f>
        <v>105032.7945</v>
      </c>
      <c r="D36" s="38" t="n">
        <f aca="false">MAX(0,D32-D34-D35)</f>
        <v>134028.5847</v>
      </c>
    </row>
    <row r="37" customFormat="false" ht="15" hidden="false" customHeight="false" outlineLevel="0" collapsed="false">
      <c r="A37" s="0" t="s">
        <v>121</v>
      </c>
      <c r="B37" s="38" t="n">
        <f aca="false">MIN(B36,$A$15)*$B$15+MAX(0,MIN(B36,$A$16)-$A$15)*$B$16+MAX(0,MIN(B36,$A$17)-$A$16)*$B$17+MAX(0,MIN(B36,$A$18)-$A$17)*$B$18+MAX(0,MIN(B36,$A$19)-$A$18)*$B$19+MAX(0,MIN(B36,$A$20)-$A$19)*$B$20+MAX(0,MIN(B36,$A$21)-$A$20)*$B$21</f>
        <v>18332.892658</v>
      </c>
      <c r="C37" s="38" t="n">
        <f aca="false">MIN(C36,$A$15)*$B$15+MAX(0,MIN(C36,$A$16)-$A$15)*$B$16+MAX(0,MIN(C36,$A$17)-$A$16)*$B$17+MAX(0,MIN(C36,$A$18)-$A$17)*$B$18+MAX(0,MIN(C36,$A$19)-$A$18)*$B$19+MAX(0,MIN(C36,$A$20)-$A$19)*$B$20+MAX(0,MIN(C36,$A$21)-$A$20)*$B$21</f>
        <v>12935.21479</v>
      </c>
      <c r="D37" s="38" t="n">
        <f aca="false">MIN(D36,$A$15)*$B$15+MAX(0,MIN(D36,$A$16)-$A$15)*$B$16+MAX(0,MIN(D36,$A$17)-$A$16)*$B$17+MAX(0,MIN(D36,$A$18)-$A$17)*$B$18+MAX(0,MIN(D36,$A$19)-$A$18)*$B$19+MAX(0,MIN(D36,$A$20)-$A$19)*$B$20+MAX(0,MIN(D36,$A$21)-$A$20)*$B$21</f>
        <v>19314.288634</v>
      </c>
    </row>
    <row r="38" customFormat="false" ht="15" hidden="false" customHeight="false" outlineLevel="0" collapsed="false">
      <c r="A38" s="0" t="s">
        <v>122</v>
      </c>
      <c r="B38" s="38" t="n">
        <f aca="false">$B$6*2000+$B$7*500</f>
        <v>8000</v>
      </c>
      <c r="C38" s="38" t="n">
        <f aca="false">$B$6*2000+$B$7*500</f>
        <v>8000</v>
      </c>
      <c r="D38" s="38" t="n">
        <f aca="false">$B$6*2000+$B$7*500</f>
        <v>8000</v>
      </c>
    </row>
    <row r="39" customFormat="false" ht="15" hidden="false" customHeight="false" outlineLevel="0" collapsed="false">
      <c r="A39" s="0" t="s">
        <v>123</v>
      </c>
      <c r="B39" s="38" t="n">
        <f aca="false">MAX(0,B37-B38)</f>
        <v>10332.892658</v>
      </c>
      <c r="C39" s="38" t="n">
        <f aca="false">MAX(0,C37-C38)</f>
        <v>4935.21479</v>
      </c>
      <c r="D39" s="38" t="n">
        <f aca="false">MAX(0,D37-D38)</f>
        <v>11314.288634</v>
      </c>
    </row>
    <row r="40" customFormat="false" ht="15" hidden="false" customHeight="false" outlineLevel="0" collapsed="false">
      <c r="A40" s="0" t="s">
        <v>124</v>
      </c>
      <c r="B40" s="38" t="n">
        <f aca="false">B36*$B$8</f>
        <v>0</v>
      </c>
      <c r="C40" s="38" t="n">
        <f aca="false">C36*$B$8</f>
        <v>0</v>
      </c>
      <c r="D40" s="38" t="n">
        <f aca="false">D36*$B$8</f>
        <v>0</v>
      </c>
    </row>
    <row r="41" customFormat="false" ht="15" hidden="false" customHeight="false" outlineLevel="0" collapsed="false">
      <c r="A41" s="36" t="s">
        <v>125</v>
      </c>
      <c r="B41" s="39" t="n">
        <f aca="false">B30+B39+B40</f>
        <v>22413.657908</v>
      </c>
      <c r="C41" s="39" t="n">
        <f aca="false">C30+C39+C40</f>
        <v>12353.22854</v>
      </c>
      <c r="D41" s="39" t="n">
        <f aca="false">D30+D39+D40</f>
        <v>24242.826884</v>
      </c>
    </row>
    <row r="42" customFormat="false" ht="15" hidden="false" customHeight="false" outlineLevel="0" collapsed="false">
      <c r="A42" s="36" t="s">
        <v>126</v>
      </c>
      <c r="B42" s="40" t="n">
        <f aca="false">B28-B41</f>
        <v>159086.342092</v>
      </c>
      <c r="C42" s="40" t="n">
        <f aca="false">C28-C41</f>
        <v>136146.77146</v>
      </c>
      <c r="D42" s="40" t="n">
        <f aca="false">D28-D41</f>
        <v>163257.173116</v>
      </c>
    </row>
    <row r="43" customFormat="false" ht="15" hidden="false" customHeight="false" outlineLevel="0" collapsed="false">
      <c r="A43" s="36" t="s">
        <v>127</v>
      </c>
      <c r="B43" s="40" t="n">
        <f aca="false">B42/12</f>
        <v>13257.1951743333</v>
      </c>
      <c r="C43" s="40" t="n">
        <f aca="false">C42/12</f>
        <v>11345.5642883333</v>
      </c>
      <c r="D43" s="40" t="n">
        <f aca="false">D42/12</f>
        <v>13604.7644263333</v>
      </c>
    </row>
    <row r="44" customFormat="false" ht="15" hidden="false" customHeight="false" outlineLevel="0" collapsed="false">
      <c r="A44" s="0" t="s">
        <v>128</v>
      </c>
      <c r="B44" s="41" t="n">
        <f aca="false">B41/B28</f>
        <v>0.123491228143251</v>
      </c>
      <c r="C44" s="41" t="n">
        <f aca="false">C41/C28</f>
        <v>0.0831867241750842</v>
      </c>
      <c r="D44" s="41" t="n">
        <f aca="false">D41/D28</f>
        <v>0.129295076714667</v>
      </c>
    </row>
    <row r="46" customFormat="false" ht="15" hidden="false" customHeight="false" outlineLevel="0" collapsed="false">
      <c r="A46" s="24" t="s">
        <v>129</v>
      </c>
      <c r="B46" s="24"/>
      <c r="C46" s="24"/>
      <c r="D46" s="24"/>
    </row>
    <row r="47" customFormat="false" ht="23.85" hidden="false" customHeight="true" outlineLevel="0" collapsed="false">
      <c r="A47" s="23" t="s">
        <v>130</v>
      </c>
      <c r="B47" s="23"/>
      <c r="C47" s="23"/>
      <c r="D47" s="23"/>
    </row>
    <row r="48" customFormat="false" ht="23.85" hidden="false" customHeight="true" outlineLevel="0" collapsed="false">
      <c r="A48" s="23" t="s">
        <v>131</v>
      </c>
      <c r="B48" s="23"/>
      <c r="C48" s="23"/>
      <c r="D48" s="23"/>
    </row>
    <row r="49" customFormat="false" ht="23.85" hidden="false" customHeight="true" outlineLevel="0" collapsed="false">
      <c r="A49" s="23" t="s">
        <v>132</v>
      </c>
      <c r="B49" s="23"/>
      <c r="C49" s="23"/>
      <c r="D49" s="23"/>
    </row>
    <row r="50" customFormat="false" ht="15" hidden="false" customHeight="true" outlineLevel="0" collapsed="false">
      <c r="A50" s="23" t="s">
        <v>133</v>
      </c>
      <c r="B50" s="23"/>
      <c r="C50" s="23"/>
      <c r="D50" s="23"/>
    </row>
    <row r="51" customFormat="false" ht="23.85" hidden="false" customHeight="true" outlineLevel="0" collapsed="false">
      <c r="A51" s="23" t="s">
        <v>134</v>
      </c>
      <c r="B51" s="23"/>
      <c r="C51" s="23"/>
      <c r="D51" s="23"/>
    </row>
    <row r="52" customFormat="false" ht="23.85" hidden="false" customHeight="true" outlineLevel="0" collapsed="false">
      <c r="A52" s="23" t="s">
        <v>135</v>
      </c>
      <c r="B52" s="23"/>
      <c r="C52" s="23"/>
      <c r="D52" s="23"/>
    </row>
    <row r="53" customFormat="false" ht="23.85" hidden="false" customHeight="true" outlineLevel="0" collapsed="false">
      <c r="A53" s="23" t="s">
        <v>136</v>
      </c>
      <c r="B53" s="23"/>
      <c r="C53" s="23"/>
      <c r="D53" s="23"/>
    </row>
  </sheetData>
  <mergeCells count="13">
    <mergeCell ref="A1:E1"/>
    <mergeCell ref="A2:E2"/>
    <mergeCell ref="A4:E4"/>
    <mergeCell ref="A13:E13"/>
    <mergeCell ref="A24:E24"/>
    <mergeCell ref="A46:D46"/>
    <mergeCell ref="A47:D47"/>
    <mergeCell ref="A48:D48"/>
    <mergeCell ref="A49:D49"/>
    <mergeCell ref="A50:D50"/>
    <mergeCell ref="A51:D51"/>
    <mergeCell ref="A52:D52"/>
    <mergeCell ref="A53:D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2026-05-30T02:27:12Z</dcterms:created>
  <dc:creator>openpyxl</dc:creator>
  <dc:description/>
  <dc:language>en-US</dc:language>
  <cp:lastModifiedBy/>
  <dcterms:modified xsi:type="dcterms:W3CDTF">2026-05-30T02:31:25Z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