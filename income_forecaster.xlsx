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orecast" sheetId="2" state="visible" r:id="rId4"/>
    <sheet name="Summary" sheetId="3" state="visible" r:id="rId5"/>
    <sheet name="Taxes" sheetId="4" state="visible" r:id="rId6"/>
    <sheet name="Personal Expenses" sheetId="5" state="visible" r:id="rId7"/>
    <sheet name="Framework OPS P&amp;L" sheetId="6" state="visible" r:id="rId8"/>
    <sheet name="Cash Roll-Forward" sheetId="7" state="visible" r:id="rId9"/>
    <sheet name="Debt Strategy" sheetId="8" state="visible" r:id="rId10"/>
    <sheet name="3-Year Growt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<sst xmlns="http://schemas.openxmlformats.org/spreadsheetml/2006/main" count="482" uniqueCount="393">
  <si>
    <t xml:space="preserve">Income Forecaster — Chance Peare</t>
  </si>
  <si>
    <t xml:space="preserve">Horizon: June 2026 – May 2027 | Updated: May 29, 2026 | Pessimistic per Framework OPS standard</t>
  </si>
  <si>
    <t xml:space="preserve">INPUT ASSUMPTIONS</t>
  </si>
  <si>
    <t xml:space="preserve">Skyright W2 (monthly gross)</t>
  </si>
  <si>
    <t xml:space="preserve">Stable W2. Tax handled by employer withholding.</t>
  </si>
  <si>
    <t xml:space="preserve">Carlos retainer — June ramp</t>
  </si>
  <si>
    <t xml:space="preserve">Half month / partial scope.</t>
  </si>
  <si>
    <t xml:space="preserve">Carlos retainer — Jul onward</t>
  </si>
  <si>
    <t xml:space="preserve">Full retainer starts July.</t>
  </si>
  <si>
    <t xml:space="preserve">Client 3 retainer (monthly)</t>
  </si>
  <si>
    <t xml:space="preserve">New client assumed signed for Sep onset.</t>
  </si>
  <si>
    <t xml:space="preserve">Client 3 start month #</t>
  </si>
  <si>
    <t xml:space="preserve">Month number (1=Jun26, 4=Sep26, 12=May27).</t>
  </si>
  <si>
    <t xml:space="preserve">Daniel + Upwork variable (monthly est)</t>
  </si>
  <si>
    <t xml:space="preserve">Project-based. Lumpy in reality.</t>
  </si>
  <si>
    <t xml:space="preserve">SCENARIO HAIRCUTS</t>
  </si>
  <si>
    <t xml:space="preserve">Downside: Carlos churn month (1–12, 0=never)</t>
  </si>
  <si>
    <t xml:space="preserve">Default month 10 = pessimistic churn.</t>
  </si>
  <si>
    <t xml:space="preserve">Downside: Client 3 churn month (1–12, 0=never)</t>
  </si>
  <si>
    <t xml:space="preserve">New client = highest churn risk. Default = month 9.</t>
  </si>
  <si>
    <t xml:space="preserve">Downside: Variable work haircut %</t>
  </si>
  <si>
    <t xml:space="preserve">Discount on Daniel/Upwork.</t>
  </si>
  <si>
    <t xml:space="preserve">Downside: Skyright continuity</t>
  </si>
  <si>
    <t xml:space="preserve">1.00 = stays. Drop to model W2 loss.</t>
  </si>
  <si>
    <t xml:space="preserve">Upside: Variable work uplift %</t>
  </si>
  <si>
    <t xml:space="preserve">Modest uplift in upside.</t>
  </si>
  <si>
    <t xml:space="preserve">COLOR KEY</t>
  </si>
  <si>
    <t xml:space="preserve">Blue text</t>
  </si>
  <si>
    <t xml:space="preserve">Hardcoded input — change these</t>
  </si>
  <si>
    <t xml:space="preserve">Black text</t>
  </si>
  <si>
    <t xml:space="preserve">Formula / calculation</t>
  </si>
  <si>
    <t xml:space="preserve">Yellow fill</t>
  </si>
  <si>
    <t xml:space="preserve">Key assumption — sanity-check</t>
  </si>
  <si>
    <t xml:space="preserve">PERSONAL / HOUSEHOLD INPUTS</t>
  </si>
  <si>
    <t xml:space="preserve">Sale close month # (1=Jun26, 2=Jul, 3=Aug)</t>
  </si>
  <si>
    <t xml:space="preserve">Default Jul-26 — edit per actual close.</t>
  </si>
  <si>
    <t xml:space="preserve">Current PITI (until sale)</t>
  </si>
  <si>
    <t xml:space="preserve">Mortgage + tax + insurance.</t>
  </si>
  <si>
    <t xml:space="preserve">Net sale proceeds (post-costs)</t>
  </si>
  <si>
    <t xml:space="preserve">$615K sale − $471K mortgage − ~$48K (8% costs, pessimistic).</t>
  </si>
  <si>
    <t xml:space="preserve">Bridge rent (post-sale)</t>
  </si>
  <si>
    <t xml:space="preserve">1-year rental during transition.</t>
  </si>
  <si>
    <t xml:space="preserve">Moving costs (one-time)</t>
  </si>
  <si>
    <t xml:space="preserve">Movers, storage, misc.</t>
  </si>
  <si>
    <t xml:space="preserve">Rent deposit (1st + last)</t>
  </si>
  <si>
    <t xml:space="preserve">2 months rent at $3,200.</t>
  </si>
  <si>
    <t xml:space="preserve">Health insurance (paycheck)</t>
  </si>
  <si>
    <t xml:space="preserve">Midpoint of $200–600 range.</t>
  </si>
  <si>
    <t xml:space="preserve">Auto loan payment</t>
  </si>
  <si>
    <t xml:space="preserve">7% APR, 5-yr, ~$10K balance.</t>
  </si>
  <si>
    <t xml:space="preserve">Personal loan #1 payment</t>
  </si>
  <si>
    <t xml:space="preserve">$13K balance, 4 yrs left, ~10.5% APR (calc).</t>
  </si>
  <si>
    <t xml:space="preserve">Personal loan #2 payment</t>
  </si>
  <si>
    <t xml:space="preserve">$24.5K balance, 6 yrs, 12.72% APR.</t>
  </si>
  <si>
    <t xml:space="preserve">CC balance (paid at sale)</t>
  </si>
  <si>
    <t xml:space="preserve">Eliminated month of sale.</t>
  </si>
  <si>
    <t xml:space="preserve">CC monthly min (until paid off)</t>
  </si>
  <si>
    <t xml:space="preserve">~2.5% of balance.</t>
  </si>
  <si>
    <t xml:space="preserve">Personal #1 payoff month (0=keep)</t>
  </si>
  <si>
    <t xml:space="preserve">Default: pay off at sale from proceeds.</t>
  </si>
  <si>
    <t xml:space="preserve">Personal #2 payoff month (0=keep)</t>
  </si>
  <si>
    <t xml:space="preserve">Default: pay off at sale (highest APR after CC).</t>
  </si>
  <si>
    <t xml:space="preserve">Utilities (electric/water/gas/trash/phone, est)</t>
  </si>
  <si>
    <t xml:space="preserve">Tarpon Springs 4BR estimate.</t>
  </si>
  <si>
    <t xml:space="preserve">Internet (total)</t>
  </si>
  <si>
    <t xml:space="preserve">Allocated 30% to business below.</t>
  </si>
  <si>
    <t xml:space="preserve">Groceries</t>
  </si>
  <si>
    <t xml:space="preserve">User said $1K — bumped pessimistic for 6-person household.</t>
  </si>
  <si>
    <t xml:space="preserve">Child activities</t>
  </si>
  <si>
    <t xml:space="preserve">User said $200 — bumped.</t>
  </si>
  <si>
    <t xml:space="preserve">Auto fuel/maint/insurance</t>
  </si>
  <si>
    <t xml:space="preserve">User said $300 — bumped (2 cars + FL insurance).</t>
  </si>
  <si>
    <t xml:space="preserve">Personal subscriptions</t>
  </si>
  <si>
    <t xml:space="preserve">Streaming, etc.</t>
  </si>
  <si>
    <t xml:space="preserve">Discretionary</t>
  </si>
  <si>
    <t xml:space="preserve">Dining, household, misc.</t>
  </si>
  <si>
    <t xml:space="preserve">401(k) contribution (4% of W2)</t>
  </si>
  <si>
    <t xml:space="preserve">$96K × 4% / 12 to capture full match.</t>
  </si>
  <si>
    <t xml:space="preserve">Roth IRA contribution (monthly)</t>
  </si>
  <si>
    <t xml:space="preserve">$13K/yr ÷ 12. At/near MFJ limit.</t>
  </si>
  <si>
    <t xml:space="preserve">Starting cash on hand</t>
  </si>
  <si>
    <t xml:space="preserve">Personal accounts today.</t>
  </si>
  <si>
    <t xml:space="preserve">Starting 401(k) balance</t>
  </si>
  <si>
    <t xml:space="preserve">Skyright 401(k) balance today.</t>
  </si>
  <si>
    <t xml:space="preserve">FRAMEWORK OPS EXPENSE INPUTS</t>
  </si>
  <si>
    <t xml:space="preserve">Claude (monthly)</t>
  </si>
  <si>
    <t xml:space="preserve">Per user.</t>
  </si>
  <si>
    <t xml:space="preserve">Railway (monthly)</t>
  </si>
  <si>
    <t xml:space="preserve">Business phones</t>
  </si>
  <si>
    <t xml:space="preserve">Internet allocation to business (30%)</t>
  </si>
  <si>
    <t xml:space="preserve">30% of $90.</t>
  </si>
  <si>
    <t xml:space="preserve">CPA / bookkeeping accrual</t>
  </si>
  <si>
    <t xml:space="preserve">NOT YET INCURRED. Annual return + advisory ~$1.5K/yr. Reserve now.</t>
  </si>
  <si>
    <t xml:space="preserve">E&amp;O / GL insurance (est)</t>
  </si>
  <si>
    <t xml:space="preserve">NOT YET IN PLACE. $50–100/mo for new fractional COO.</t>
  </si>
  <si>
    <t xml:space="preserve">Additional software reserve</t>
  </si>
  <si>
    <t xml:space="preserve">ClickUp, Buffer, etc. as you add tools.</t>
  </si>
  <si>
    <t xml:space="preserve">LLC + agent (annual, one-time)</t>
  </si>
  <si>
    <t xml:space="preserve">Paid for 2026 — accrual for next year.</t>
  </si>
  <si>
    <t xml:space="preserve">12-Month Income Forecast</t>
  </si>
  <si>
    <t xml:space="preserve">Source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</si>
  <si>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</si>
  <si>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</si>
  <si>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</si>
  <si>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</si>
  <si>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</si>
  <si>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</si>
  <si>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</si>
  <si>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</si>
  <si>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</si>
  <si>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</si>
  <si>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</si>
  <si>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</si>
  <si>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Total</t>
  </si>
  <si>
    <t xml:space="preserve">Avg/mo</t>
  </si>
  <si>
    <t xml:space="preserve">BASE SCENARIO</t>
  </si>
  <si>
    <t xml:space="preserve">Skyright W2</t>
  </si>
  <si>
    <t xml:space="preserve">Carlos</t>
  </si>
  <si>
    <t xml:space="preserve">Client 3 (Sep ramp)</t>
  </si>
  <si>
    <t xml:space="preserve">Daniel + Upwork (variable)</t>
  </si>
  <si>
    <t xml:space="preserve">Base Total</t>
  </si>
  <si>
    <t xml:space="preserve">DOWNSIDE SCENARIO (pessimistic)</t>
  </si>
  <si>
    <t xml:space="preserve">Skyright W2 × continuity</t>
  </si>
  <si>
    <t xml:space="preserve">Carlos × churn</t>
  </si>
  <si>
    <t xml:space="preserve">Client 3 × churn</t>
  </si>
  <si>
    <t xml:space="preserve">Daniel + Upwork × (1 − haircut)</t>
  </si>
  <si>
    <t xml:space="preserve">Downside Total</t>
  </si>
  <si>
    <t xml:space="preserve">UPSIDE SCENARIO</t>
  </si>
  <si>
    <t xml:space="preserve">Carlos (full)</t>
  </si>
  <si>
    <t xml:space="preserve">Daniel + Upwork × (1 + uplift)</t>
  </si>
  <si>
    <t xml:space="preserve">Upside Total</t>
  </si>
  <si>
    <t xml:space="preserve">Forecast Summary</t>
  </si>
  <si>
    <t xml:space="preserve">Scenario</t>
  </si>
  <si>
    <t xml:space="preserve">12-Mo Total</t>
  </si>
  <si>
    <t xml:space="preserve">Avg / Month</t>
  </si>
  <si>
    <t xml:space="preserve">Base</t>
  </si>
  <si>
    <t xml:space="preserve">Downside (pessimistic)</t>
  </si>
  <si>
    <t xml:space="preserve">Upside</t>
  </si>
  <si>
    <t xml:space="preserve">Composition (Base, Year 1)</t>
  </si>
  <si>
    <t xml:space="preserve">Client 3</t>
  </si>
  <si>
    <t xml:space="preserve">Daniel + Upwork</t>
  </si>
  <si>
    <t xml:space="preserve">Key takeaways</t>
  </si>
  <si>
    <t xml:space="preserve">• Client 3 is the most fragile new line — a Sep close is an assumption, not a signed contract.</t>
  </si>
  <si>
    <t xml:space="preserve">• Skyright W2 still anchors the model. If it disappears, no combination of clients replaces it Year 1.</t>
  </si>
  <si>
    <t xml:space="preserve">• Downside churns Carlos at month 10 and Client 3 at month 9. Edit Assumptions B12/B13 to test.</t>
  </si>
  <si>
    <t xml:space="preserve">• Variable work (Daniel/Upwork) halves in downside. Set to $0 to model a true dry spell.</t>
  </si>
  <si>
    <t xml:space="preserve">• All numbers gross. SE tax 15.3% + income tax on ~$84.5K of 1099 income (base) lands ~$25K – $30K below gross.</t>
  </si>
  <si>
    <t xml:space="preserve">• Capacity check: Carlos + Client 3 = 2 active retainers. CLAUDE.md ceiling is 3 Active + 1 Embedded while still COO at Skyright.</t>
  </si>
  <si>
    <t xml:space="preserve">Net take-home (after tax)</t>
  </si>
  <si>
    <t xml:space="preserve">Annual Net</t>
  </si>
  <si>
    <t xml:space="preserve">Monthly Net</t>
  </si>
  <si>
    <t xml:space="preserve">Downside</t>
  </si>
  <si>
    <t xml:space="preserve">Total tax liability</t>
  </si>
  <si>
    <t xml:space="preserve">Total Tax</t>
  </si>
  <si>
    <t xml:space="preserve">Effective Rate</t>
  </si>
  <si>
    <t xml:space="preserve">Consolidated household cash flow (Base)</t>
  </si>
  <si>
    <t xml:space="preserve">Metric</t>
  </si>
  <si>
    <t xml:space="preserve">Monthly</t>
  </si>
  <si>
    <t xml:space="preserve">Annual</t>
  </si>
  <si>
    <t xml:space="preserve">After-tax income</t>
  </si>
  <si>
    <t xml:space="preserve">Personal expenses (avg)</t>
  </si>
  <si>
    <t xml:space="preserve">Framework OPS OpEx (avg)</t>
  </si>
  <si>
    <t xml:space="preserve">Net household cash flow</t>
  </si>
  <si>
    <t xml:space="preserve">End-of-year cash position</t>
  </si>
  <si>
    <t xml:space="preserve">3-Year forecast (Framework OPS revenue net of Skyright)</t>
  </si>
  <si>
    <t xml:space="preserve">Year 1</t>
  </si>
  <si>
    <t xml:space="preserve">Year 2</t>
  </si>
  <si>
    <t xml:space="preserve">Year 3</t>
  </si>
  <si>
    <t xml:space="preserve">Framework OPS revenue</t>
  </si>
  <si>
    <t xml:space="preserve">Total gross income</t>
  </si>
  <si>
    <t xml:space="preserve">Net income (pre-owner pay)</t>
  </si>
  <si>
    <t xml:space="preserve">End-of-year active retainers</t>
  </si>
  <si>
    <t xml:space="preserve">Tax Model — Take-Home Calculator</t>
  </si>
  <si>
    <t xml:space="preserve">Filing: MFJ | 4 dependents (all qualifying children &lt;17) | State tax: 0% | Year: 2025 brackets (pessimistic vs 2026)</t>
  </si>
  <si>
    <t xml:space="preserve">TAX INPUTS</t>
  </si>
  <si>
    <t xml:space="preserve">Std deduction (MFJ 2025)</t>
  </si>
  <si>
    <t xml:space="preserve">IRS Rev. Proc. 2024-40.</t>
  </si>
  <si>
    <t xml:space="preserve"># Qualifying children (CTC $2K each)</t>
  </si>
  <si>
    <t xml:space="preserve">Per user input.</t>
  </si>
  <si>
    <t xml:space="preserve"># Other dependents (ODC $500 each)</t>
  </si>
  <si>
    <t xml:space="preserve">State income tax rate</t>
  </si>
  <si>
    <t xml:space="preserve">Set per home state.</t>
  </si>
  <si>
    <t xml:space="preserve">SE earnings multiplier (0.9235)</t>
  </si>
  <si>
    <t xml:space="preserve">IRS standard — net SE × 0.9235.</t>
  </si>
  <si>
    <t xml:space="preserve">SE tax rate (15.3%)</t>
  </si>
  <si>
    <t xml:space="preserve">12.4% SS + 2.9% Medicare.</t>
  </si>
  <si>
    <t xml:space="preserve">QBI deduction rate (20%)</t>
  </si>
  <si>
    <t xml:space="preserve">Sec 199A. Phases out at high AGI — not modeled.</t>
  </si>
  <si>
    <t xml:space="preserve">MFJ TAX BRACKETS (2025)</t>
  </si>
  <si>
    <t xml:space="preserve">Bracket top</t>
  </si>
  <si>
    <t xml:space="preserve">Rate</t>
  </si>
  <si>
    <t xml:space="preserve">SCENARIO TAX CALC</t>
  </si>
  <si>
    <t xml:space="preserve">Line</t>
  </si>
  <si>
    <t xml:space="preserve">W2 income (Skyright)</t>
  </si>
  <si>
    <t xml:space="preserve">1099 income (clients + variable)</t>
  </si>
  <si>
    <t xml:space="preserve">Gross total</t>
  </si>
  <si>
    <t xml:space="preserve">SE net earnings (× 0.9235)</t>
  </si>
  <si>
    <t xml:space="preserve">SE tax (15.3%)</t>
  </si>
  <si>
    <t xml:space="preserve">½ SE deductible</t>
  </si>
  <si>
    <t xml:space="preserve">AGI</t>
  </si>
  <si>
    <t xml:space="preserve">QBI base</t>
  </si>
  <si>
    <t xml:space="preserve">QBI deduction (20%)</t>
  </si>
  <si>
    <t xml:space="preserve">Standard deduction (MFJ)</t>
  </si>
  <si>
    <t xml:space="preserve">Taxable income</t>
  </si>
  <si>
    <t xml:space="preserve">Federal income tax (pre-credit)</t>
  </si>
  <si>
    <t xml:space="preserve">Child Tax Credit + ODC</t>
  </si>
  <si>
    <t xml:space="preserve">Federal income tax (post-credit)</t>
  </si>
  <si>
    <t xml:space="preserve">State income tax</t>
  </si>
  <si>
    <t xml:space="preserve">TOTAL TAX LIABILITY</t>
  </si>
  <si>
    <t xml:space="preserve">NET TAKE-HOME (annual)</t>
  </si>
  <si>
    <t xml:space="preserve">NET TAKE-HOME (monthly avg)</t>
  </si>
  <si>
    <t xml:space="preserve">Effective tax rate</t>
  </si>
  <si>
    <t xml:space="preserve">Methodology notes</t>
  </si>
  <si>
    <t xml:space="preserve">• Brackets are 2025 MFJ — 2026 will be ~2.5% more favorable due to inflation indexing. Using 2025 stays pessimistic.</t>
  </si>
  <si>
    <t xml:space="preserve">• SE tax assumes full 15.3% applies — at this 1099 level, combined W2+SE wages stay under the 2026 SS wage base ($176,100 est).</t>
  </si>
  <si>
    <t xml:space="preserve">• QBI deduction (Sec 199A) applies fully because AGI is below the MFJ phase-out (~$394K). Consulting is a SSTB — if AGI rises, deduction phases out.</t>
  </si>
  <si>
    <t xml:space="preserve">• CTC: $2,000 per qualifying child &lt;17. Phases out above $400K MFJ — not a concern here.</t>
  </si>
  <si>
    <t xml:space="preserve">• No state tax modeled. If you move to a tax state, set Assumptions B8 to the rate (CA 9.3%, NY 6.5%, GA 5.4%, etc.).</t>
  </si>
  <si>
    <t xml:space="preserve">• Self-employment retirement contributions (Solo 401(k), SEP IRA) NOT modeled — these would lower AGI further. Consider for tax planning.</t>
  </si>
  <si>
    <t xml:space="preserve">• Estimated quarterly payments required for 1099 income. Roughly: SE tax + (1099 × ~22%) ÷ 4 = your quarterly federal payment.</t>
  </si>
  <si>
    <t xml:space="preserve">Personal Expenses — Monthly</t>
  </si>
  <si>
    <t xml:space="preserve">Family of 6 | Housing transition built in | Debt payoff at sale</t>
  </si>
  <si>
    <t xml:space="preserve">PITI (current home)</t>
  </si>
  <si>
    <t xml:space="preserve">Rent (bridge)</t>
  </si>
  <si>
    <t xml:space="preserve">Moving + rent deposit (one-time)</t>
  </si>
  <si>
    <t xml:space="preserve">Utilities (less biz internet)</t>
  </si>
  <si>
    <t xml:space="preserve">Health insurance</t>
  </si>
  <si>
    <t xml:space="preserve">Auto loan</t>
  </si>
  <si>
    <t xml:space="preserve">Personal loan #1 ($13K)</t>
  </si>
  <si>
    <t xml:space="preserve">Personal loan #2 ($24.5K)</t>
  </si>
  <si>
    <t xml:space="preserve">CC minimum (until sale)</t>
  </si>
  <si>
    <t xml:space="preserve">401(k) contribution</t>
  </si>
  <si>
    <t xml:space="preserve">Roth IRA contribution</t>
  </si>
  <si>
    <t xml:space="preserve">TOTAL PERSONAL OUTFLOWS</t>
  </si>
  <si>
    <t xml:space="preserve">Framework OPS LLC — Pro Forma P&amp;L</t>
  </si>
  <si>
    <t xml:space="preserve">Revenue = client/variable income. Owner pay flows to personal 1040 (no W2 from LLC).</t>
  </si>
  <si>
    <t xml:space="preserve">REVENUE (Base scenario)</t>
  </si>
  <si>
    <t xml:space="preserve">Carlos retainer</t>
  </si>
  <si>
    <t xml:space="preserve">Client 3 retainer</t>
  </si>
  <si>
    <t xml:space="preserve">Daniel + Upwork variable</t>
  </si>
  <si>
    <t xml:space="preserve">Total Revenue</t>
  </si>
  <si>
    <t xml:space="preserve">OPERATING EXPENSES</t>
  </si>
  <si>
    <t xml:space="preserve">Claude</t>
  </si>
  <si>
    <t xml:space="preserve">Railway</t>
  </si>
  <si>
    <t xml:space="preserve">Internet (biz allocation)</t>
  </si>
  <si>
    <t xml:space="preserve">CPA / bookkeeping (accrual)</t>
  </si>
  <si>
    <t xml:space="preserve">E&amp;O / GL insurance (recommended)</t>
  </si>
  <si>
    <t xml:space="preserve">LLC + agent (accrual for next renewal)</t>
  </si>
  <si>
    <t xml:space="preserve">Total OpEx</t>
  </si>
  <si>
    <t xml:space="preserve">NET INCOME (pre-owner pay)</t>
  </si>
  <si>
    <t xml:space="preserve">Net margin %</t>
  </si>
  <si>
    <t xml:space="preserve">P&amp;L notes</t>
  </si>
  <si>
    <t xml:space="preserve">• Revenue mirrors the Forecast tab base scenario. Edit assumptions there to flow through.</t>
  </si>
  <si>
    <t xml:space="preserve">• No COGS — pure services business. Net margin equals operating margin.</t>
  </si>
  <si>
    <t xml:space="preserve">• Owner pay (Chance) is NOT an expense to the LLC — single-member disregarded entity flows net income to your 1040 as 1099 income, already taxed on Taxes tab.</t>
  </si>
  <si>
    <t xml:space="preserve">• When/if S-corp election is made, your W-2 salary from the LLC becomes an expense here, lowering LLC net income — but offset by SE tax savings on personal side. Re-model at that point.</t>
  </si>
  <si>
    <t xml:space="preserve">• CPA, E&amp;O insurance, software reserve are NOT YET INCURRED — modeled as reserves to plan for. Pull from Mercury when you set them up.</t>
  </si>
  <si>
    <t xml:space="preserve">Cash Roll-Forward (Base scenario)</t>
  </si>
  <si>
    <t xml:space="preserve">Starts at $11K personal cash. Sale event adds $95K. Debt payoff applied at sale month per assumptions.</t>
  </si>
  <si>
    <t xml:space="preserve">Beginning cash</t>
  </si>
  <si>
    <t xml:space="preserve">(+) After-tax income (Base)</t>
  </si>
  <si>
    <t xml:space="preserve">(−) Personal expenses</t>
  </si>
  <si>
    <t xml:space="preserve">(−) Framework OPS OpEx</t>
  </si>
  <si>
    <t xml:space="preserve">(+) Net sale proceeds</t>
  </si>
  <si>
    <t xml:space="preserve">(−) Debt payoff (CC, loans)</t>
  </si>
  <si>
    <t xml:space="preserve">Net cash change</t>
  </si>
  <si>
    <t xml:space="preserve">Ending cash</t>
  </si>
  <si>
    <t xml:space="preserve">Roll-forward notes</t>
  </si>
  <si>
    <t xml:space="preserve">• After-tax income line is the Base scenario monthly average from Taxes tab (B43). To stress to Downside, change formula in row 6 to Taxes!$C$43.</t>
  </si>
  <si>
    <t xml:space="preserve">• Framework OPS OpEx is subtracted because Carlos/Client3 receipts hit your gross 1099 income, but you actually pay these expenses from those receipts.</t>
  </si>
  <si>
    <t xml:space="preserve">• Sale proceeds and debt payoffs are one-time, triggered by the month set on Assumptions.</t>
  </si>
  <si>
    <t xml:space="preserve">• Roth IRA + 401(k) contributions are treated as outflows (they leave checking) but ARE building net worth elsewhere. Do not double-count.</t>
  </si>
  <si>
    <t xml:space="preserve">Debt Payoff Strategy — Recommendation</t>
  </si>
  <si>
    <t xml:space="preserve">Current debt stack (CC first, by APR)</t>
  </si>
  <si>
    <t xml:space="preserve">Debt</t>
  </si>
  <si>
    <t xml:space="preserve">Balance</t>
  </si>
  <si>
    <t xml:space="preserve">Monthly Pmt</t>
  </si>
  <si>
    <t xml:space="preserve">APR (est)</t>
  </si>
  <si>
    <t xml:space="preserve">Priority</t>
  </si>
  <si>
    <t xml:space="preserve">Credit cards</t>
  </si>
  <si>
    <t xml:space="preserve">22–29% (typ)</t>
  </si>
  <si>
    <t xml:space="preserve">1 — pay off at sale (no question)</t>
  </si>
  <si>
    <t xml:space="preserve">Personal loan #2</t>
  </si>
  <si>
    <t xml:space="preserve">12.72%</t>
  </si>
  <si>
    <t xml:space="preserve">2 — pay off at sale</t>
  </si>
  <si>
    <t xml:space="preserve">Personal loan #1</t>
  </si>
  <si>
    <t xml:space="preserve">~10.5% (calc)</t>
  </si>
  <si>
    <t xml:space="preserve">3 — pay off at sale</t>
  </si>
  <si>
    <t xml:space="preserve">7%</t>
  </si>
  <si>
    <t xml:space="preserve">4 — KEEP (rate &lt; safe yield)</t>
  </si>
  <si>
    <t xml:space="preserve">Student loan</t>
  </si>
  <si>
    <t xml:space="preserve">n/a</t>
  </si>
  <si>
    <t xml:space="preserve">0 — Skyright paying in full</t>
  </si>
  <si>
    <t xml:space="preserve">TOTAL</t>
  </si>
  <si>
    <t xml:space="preserve">Recommended deployment of $95K sale proceeds + $11K cash</t>
  </si>
  <si>
    <t xml:space="preserve">Use of funds</t>
  </si>
  <si>
    <t xml:space="preserve">Amount</t>
  </si>
  <si>
    <t xml:space="preserve">Running balance</t>
  </si>
  <si>
    <t xml:space="preserve">Starting: existing cash + sale proceeds</t>
  </si>
  <si>
    <t xml:space="preserve">Less: Pay off credit cards</t>
  </si>
  <si>
    <t xml:space="preserve">Less: Moving costs</t>
  </si>
  <si>
    <t xml:space="preserve">Less: Rent deposit (1st + last)</t>
  </si>
  <si>
    <t xml:space="preserve">Less: Pay off Personal Loan #2 ($24.5K @ 12.72%)</t>
  </si>
  <si>
    <t xml:space="preserve">Less: Pay off Personal Loan #1 ($13K @ ~10.5%)</t>
  </si>
  <si>
    <t xml:space="preserve">Remaining for emergency fund / buffer</t>
  </si>
  <si>
    <t xml:space="preserve">Why this order (data-backed)</t>
  </si>
  <si>
    <t xml:space="preserve">• CCs at 22–29% APR are the most expensive debt by a wide margin. Eliminating $16K saves $3,500–$4,600/yr in interest. No-brainer.</t>
  </si>
  <si>
    <t xml:space="preserve">• Personal Loan #2 (12.72%) is the next-highest rate. Eliminating $24.5K saves ~$3,116/yr in interest AND frees $499/mo in cash flow.</t>
  </si>
  <si>
    <t xml:space="preserve">• Personal Loan #1 (~10.5% calc) is third. Eliminating $13K saves ~$1,365/yr interest, frees $334/mo cash flow.</t>
  </si>
  <si>
    <t xml:space="preserve">• Keep the auto loan at 7%. After-tax yield on a HYSA is currently ~4.0–4.3%; the spread isn't worth liquidating to kill a 7% debt with a low fixed payment.</t>
  </si>
  <si>
    <t xml:space="preserve">• Combined cash flow freed: $833/mo from killing the two personal loans. That fills the emergency fund and adds to retirement.</t>
  </si>
  <si>
    <t xml:space="preserve">• Total interest saved over remaining loan terms (rough): $8,000–$12,000.</t>
  </si>
  <si>
    <t xml:space="preserve">Risks / counterpoints (pessimistic check)</t>
  </si>
  <si>
    <t xml:space="preserve">• Sale price $615K is a target, not closed. If it sells for $590K, net proceeds drop to ~$72K. At that level, pay off CC + Loan #2 only; keep $11K cash + $7K residual ($18K). Loan #1 stays.</t>
  </si>
  <si>
    <t xml:space="preserve">• Family of 6 in housing transition + new consulting practice = volatile period. Standard advice is 6 months of essential expenses as emergency fund. Your essential burn after debt payoff is ~$7,000/mo → 6-month fund = $42K. The recommended plan leaves ~$41K — right at the floor.</t>
  </si>
  <si>
    <t xml:space="preserve">• CC payoff is only durable if spending behavior holds. If CCs build up again in 90 days, you've traded equity for short-term lifestyle inflation. Set up automatic full-balance pay from Mercury.</t>
  </si>
  <si>
    <t xml:space="preserve">• Carlos and Client 3 retainers are revocable. If both churn in Q4, you lose $6K/mo of 1099 income. The buffer covers ~6 months of that hole at current burn.</t>
  </si>
  <si>
    <t xml:space="preserve">• You are NOT carrying business insurance. One client lawsuit (even meritless) can wipe out the emergency fund in legal fees. E&amp;O quote should happen this month, not next quarter.</t>
  </si>
  <si>
    <t xml:space="preserve">3-Year Growth Forecast — Framework OPS</t>
  </si>
  <si>
    <t xml:space="preserve">Pessimistic: ~18-mo avg client tenure | Skyright W2 ends month 13 | Retainers $1.5–4K | Solo capacity ceiling 5 active retainers post-Skyright</t>
  </si>
  <si>
    <t xml:space="preserve">Client / Line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</si>
  <si>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</si>
  <si>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</si>
  <si>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</si>
  <si>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</si>
  <si>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</si>
  <si>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</si>
  <si>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</si>
  <si>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</si>
  <si>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</si>
  <si>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</si>
  <si>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</si>
  <si>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</si>
  <si>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</si>
  <si>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</si>
  <si>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</si>
  <si>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</si>
  <si>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</si>
  <si>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</si>
  <si>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</si>
  <si>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</si>
  <si>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</si>
  <si>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</si>
  <si>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</si>
  <si>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May-29</t>
  </si>
  <si>
    <t xml:space="preserve">Y1 Total</t>
  </si>
  <si>
    <t xml:space="preserve">Y2 Total</t>
  </si>
  <si>
    <t xml:space="preserve">Y3 Total</t>
  </si>
  <si>
    <t xml:space="preserve">Y-OVER-Y SUMMARY</t>
  </si>
  <si>
    <t xml:space="preserve">Y1</t>
  </si>
  <si>
    <t xml:space="preserve">Y2</t>
  </si>
  <si>
    <t xml:space="preserve">Y3</t>
  </si>
  <si>
    <t xml:space="preserve">Carlos — ramp</t>
  </si>
  <si>
    <t xml:space="preserve">Carlos — full</t>
  </si>
  <si>
    <t xml:space="preserve">Client 3 (assumed)</t>
  </si>
  <si>
    <t xml:space="preserve">OpEx</t>
  </si>
  <si>
    <t xml:space="preserve">New Retainer #1</t>
  </si>
  <si>
    <t xml:space="preserve">Net income (pre-owner)</t>
  </si>
  <si>
    <t xml:space="preserve">New Retainer #2</t>
  </si>
  <si>
    <t xml:space="preserve">YoY growth %</t>
  </si>
  <si>
    <t xml:space="preserve">—</t>
  </si>
  <si>
    <t xml:space="preserve">New Retainer #3</t>
  </si>
  <si>
    <t xml:space="preserve">End-Y active retainers</t>
  </si>
  <si>
    <t xml:space="preserve">New Retainer #4</t>
  </si>
  <si>
    <t xml:space="preserve">Avg retainer count</t>
  </si>
  <si>
    <t xml:space="preserve">Replacement A</t>
  </si>
  <si>
    <t xml:space="preserve">New Retainer #5</t>
  </si>
  <si>
    <t xml:space="preserve">New Retainer #6</t>
  </si>
  <si>
    <t xml:space="preserve">TOTAL REVENUE</t>
  </si>
  <si>
    <t xml:space="preserve">Active retainers count</t>
  </si>
  <si>
    <t xml:space="preserve">Capacity flag (3 w/Skyright, 5 after)</t>
  </si>
  <si>
    <t xml:space="preserve">Less: Framework OPS OpEx (scales)</t>
  </si>
  <si>
    <t xml:space="preserve">NET PRE-OWNER PAY</t>
  </si>
  <si>
    <t xml:space="preserve">PESSIMISTIC ASSUMPTIONS BAKED IN</t>
  </si>
  <si>
    <t xml:space="preserve">• Each client: start month and churn month (first inactive month). Avg tenure 16-20 mo, just above industry 30%+ annual churn worst case.</t>
  </si>
  <si>
    <t xml:space="preserve">• Y1 cap with Skyright: 3 active retainers. Roster respects this — Carlos + Client 3 + New #1 = 3 by Jan-27.</t>
  </si>
  <si>
    <t xml:space="preserve">• Y2/Y3 cap post-Skyright: 5 active retainers + variable. Solo capacity ceiling.</t>
  </si>
  <si>
    <t xml:space="preserve">• Acquisition pace: 1 every ~3-4 mo while at Skyright, then 1 every ~2 mo full-time. Pessimistic — accounts for 2-4 week sales cycle and ~30% close rate.</t>
  </si>
  <si>
    <t xml:space="preserve">• Replacement A explicitly modeled to replace Carlos churn at mo 24.</t>
  </si>
  <si>
    <t xml:space="preserve">• Avg retainer matures: $2,500-$3,000 early → $3,500-$4,000 by Y3 as pricing power grows.</t>
  </si>
  <si>
    <t xml:space="preserve">• OpEx scales: $526/mo Y1 → $750/mo Y2 (CPA active, E&amp;O insurance) → $1,100/mo Y3 (virtual EA, expanded tools).</t>
  </si>
  <si>
    <t xml:space="preserve">• Daniel/Upwork variable modeled through mo 30, then churns. No replacement variable income.</t>
  </si>
  <si>
    <t xml:space="preserve">• Capacity flag flips to "OVER" if active retainer count exceeds period ceiling — sanity check.</t>
  </si>
  <si>
    <t xml:space="preserve">• This is NET pre-owner-pay (LLC level). Owner take-home flows to personal side and is taxed there.</t>
  </si>
  <si>
    <t xml:space="preserve">STRESS-TEST WARNINGS</t>
  </si>
  <si>
    <t xml:space="preserve">• Y2 is the crisis year. Skyright W2 GONE removes $96K of stable income. Replacement requires landing 3 new retainers (Jul-27, Nov-27, Mar-28). At 30% close rate, need 10+ qualified prospects in pipeline by Apr-27.</t>
  </si>
  <si>
    <t xml:space="preserve">• Family burn ~$93K/yr after-tax (post-debt-payoff). Y2 net pre-tax ~$160K → take-home ~$110-120K. Margin over burn ~$20-30K — one bad month wipes it.</t>
  </si>
  <si>
    <t xml:space="preserve">• Churn modeled cleanly; reality is messy (scope creep, payment delays, partial work). Discount these numbers 10-15% for noise.</t>
  </si>
  <si>
    <t xml:space="preserve">• Marketing pause kills the funnel. 60-day stall in outreach = 90-day pipeline gap = 6-figure revenue hit.</t>
  </si>
  <si>
    <t xml:space="preserve">• No pricing escalators modeled on existing clients. Each renewal could add $200-300/mo if negotiated — worth $5-10K/yr if executed.</t>
  </si>
  <si>
    <t xml:space="preserve">• Y3 end at 5 active solo retainers. Beyond Y3: hire (Ops Associate $50-70K), partner with agency, or stay flat.</t>
  </si>
  <si>
    <t xml:space="preserve">• Skyright ending = no employer health insurance. Family of 6 ACA premium $1,500-2,500/mo = $20-30K/yr — NOT in this model. Y2 take-home drops materially when factored.</t>
  </si>
  <si>
    <t xml:space="preserve">• Solo 401(k) on $1099 income should be in place by Y2 — biggest tax lever, not yet modeled in the 3-yr view.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</si>
</sst>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"/>
    <numFmt numFmtId="167" formatCode="0"/>
    <numFmt numFmtId="168" formatCode="\$#,##0"/>
    <numFmt numFmtId="169" formatCode="0.00%"/>
    <numFmt numFmtId="170" formatCode="0.0000"/>
    <numFmt numFmtId="171" formatCode="\$#,##0;&quot;($&quot;#,##0\);\-"/>
    <numFmt numFmtId="172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/>
      <c r="C4" s="4"/>
      <c r="D4" s="4"/>
    </row>
    <row r="5" customFormat="false" ht="15" hidden="false" customHeight="true" outlineLevel="0" collapsed="false">
      <c r="A5" s="1" t="s">
        <v>3</v>
      </c>
      <c r="B5" s="5" t="n">
        <v>8000</v>
      </c>
      <c r="C5" s="6" t="s">
        <v>4</v>
      </c>
    </row>
    <row r="6" customFormat="false" ht="15" hidden="false" customHeight="true" outlineLevel="0" collapsed="false">
      <c r="A6" s="1" t="s">
        <v>5</v>
      </c>
      <c r="B6" s="5" t="n">
        <v>1500</v>
      </c>
      <c r="C6" s="6" t="s">
        <v>6</v>
      </c>
    </row>
    <row r="7" customFormat="false" ht="15" hidden="false" customHeight="true" outlineLevel="0" collapsed="false">
      <c r="A7" s="1" t="s">
        <v>7</v>
      </c>
      <c r="B7" s="5" t="n">
        <v>3000</v>
      </c>
      <c r="C7" s="6" t="s">
        <v>8</v>
      </c>
    </row>
    <row r="8" customFormat="false" ht="15" hidden="false" customHeight="true" outlineLevel="0" collapsed="false">
      <c r="A8" s="1" t="s">
        <v>9</v>
      </c>
      <c r="B8" s="7" t="n">
        <v>3000</v>
      </c>
      <c r="C8" s="6" t="s">
        <v>10</v>
      </c>
    </row>
    <row r="9" customFormat="false" ht="15" hidden="false" customHeight="true" outlineLevel="0" collapsed="false">
      <c r="A9" s="1" t="s">
        <v>11</v>
      </c>
      <c r="B9" s="8" t="n">
        <v>4</v>
      </c>
      <c r="C9" s="6" t="s">
        <v>12</v>
      </c>
    </row>
    <row r="10" customFormat="false" ht="15" hidden="false" customHeight="true" outlineLevel="0" collapsed="false">
      <c r="A10" s="1" t="s">
        <v>13</v>
      </c>
      <c r="B10" s="5" t="n">
        <v>2000</v>
      </c>
      <c r="C10" s="6" t="s">
        <v>14</v>
      </c>
    </row>
    <row r="11" customFormat="false" ht="15" hidden="false" customHeight="true" outlineLevel="0" collapsed="false">
      <c r="A11" s="4" t="s">
        <v>15</v>
      </c>
      <c r="B11" s="4"/>
      <c r="C11" s="4"/>
      <c r="D11" s="4"/>
    </row>
    <row r="12" customFormat="false" ht="15" hidden="false" customHeight="true" outlineLevel="0" collapsed="false">
      <c r="A12" s="1" t="s">
        <v>16</v>
      </c>
      <c r="B12" s="8" t="n">
        <v>10</v>
      </c>
      <c r="C12" s="6" t="s">
        <v>17</v>
      </c>
    </row>
    <row r="13" customFormat="false" ht="15" hidden="false" customHeight="true" outlineLevel="0" collapsed="false">
      <c r="A13" s="1" t="s">
        <v>18</v>
      </c>
      <c r="B13" s="8" t="n">
        <v>9</v>
      </c>
      <c r="C13" s="6" t="s">
        <v>19</v>
      </c>
    </row>
    <row r="14" customFormat="false" ht="15" hidden="false" customHeight="true" outlineLevel="0" collapsed="false">
      <c r="A14" s="1" t="s">
        <v>20</v>
      </c>
      <c r="B14" s="9" t="n">
        <v>0.5</v>
      </c>
      <c r="C14" s="6" t="s">
        <v>21</v>
      </c>
    </row>
    <row r="15" customFormat="false" ht="15" hidden="false" customHeight="true" outlineLevel="0" collapsed="false">
      <c r="A15" s="1" t="s">
        <v>22</v>
      </c>
      <c r="B15" s="9" t="n">
        <v>1</v>
      </c>
      <c r="C15" s="6" t="s">
        <v>23</v>
      </c>
    </row>
    <row r="16" customFormat="false" ht="15" hidden="false" customHeight="true" outlineLevel="0" collapsed="false">
      <c r="A16" s="1" t="s">
        <v>24</v>
      </c>
      <c r="B16" s="9" t="n">
        <v>0.25</v>
      </c>
      <c r="C16" s="6" t="s">
        <v>25</v>
      </c>
    </row>
    <row r="18" customFormat="false" ht="15" hidden="false" customHeight="true" outlineLevel="0" collapsed="false">
      <c r="A18" s="4" t="s">
        <v>26</v>
      </c>
      <c r="B18" s="4"/>
      <c r="C18" s="4"/>
      <c r="D18" s="4"/>
    </row>
    <row r="19" customFormat="false" ht="15" hidden="false" customHeight="true" outlineLevel="0" collapsed="false">
      <c r="A19" s="10" t="s">
        <v>27</v>
      </c>
      <c r="B19" s="1" t="s">
        <v>28</v>
      </c>
    </row>
    <row r="20" customFormat="false" ht="15" hidden="false" customHeight="true" outlineLevel="0" collapsed="false">
      <c r="A20" s="11" t="s">
        <v>29</v>
      </c>
      <c r="B20" s="1" t="s">
        <v>30</v>
      </c>
    </row>
    <row r="21" customFormat="false" ht="15" hidden="false" customHeight="true" outlineLevel="0" collapsed="false">
      <c r="A21" s="12" t="s">
        <v>31</v>
      </c>
      <c r="B21" s="1" t="s">
        <v>32</v>
      </c>
    </row>
    <row r="24" customFormat="false" ht="15" hidden="false" customHeight="true" outlineLevel="0" collapsed="false">
      <c r="A24" s="4" t="s">
        <v>33</v>
      </c>
      <c r="B24" s="4"/>
      <c r="C24" s="4"/>
      <c r="D24" s="4"/>
    </row>
    <row r="25" customFormat="false" ht="15" hidden="false" customHeight="true" outlineLevel="0" collapsed="false">
      <c r="A25" s="1" t="s">
        <v>34</v>
      </c>
      <c r="B25" s="13" t="n">
        <v>2</v>
      </c>
      <c r="C25" s="6" t="s">
        <v>35</v>
      </c>
    </row>
    <row r="26" customFormat="false" ht="15" hidden="false" customHeight="true" outlineLevel="0" collapsed="false">
      <c r="A26" s="1" t="s">
        <v>36</v>
      </c>
      <c r="B26" s="14" t="n">
        <v>3600</v>
      </c>
      <c r="C26" s="6" t="s">
        <v>37</v>
      </c>
    </row>
    <row r="27" customFormat="false" ht="15" hidden="false" customHeight="true" outlineLevel="0" collapsed="false">
      <c r="A27" s="1" t="s">
        <v>38</v>
      </c>
      <c r="B27" s="14" t="n">
        <v>95000</v>
      </c>
      <c r="C27" s="6" t="s">
        <v>39</v>
      </c>
    </row>
    <row r="28" customFormat="false" ht="15" hidden="false" customHeight="true" outlineLevel="0" collapsed="false">
      <c r="A28" s="1" t="s">
        <v>40</v>
      </c>
      <c r="B28" s="14" t="n">
        <v>3200</v>
      </c>
      <c r="C28" s="6" t="s">
        <v>41</v>
      </c>
    </row>
    <row r="29" customFormat="false" ht="15" hidden="false" customHeight="true" outlineLevel="0" collapsed="false">
      <c r="A29" s="1" t="s">
        <v>42</v>
      </c>
      <c r="B29" s="15" t="n">
        <v>5000</v>
      </c>
      <c r="C29" s="6" t="s">
        <v>43</v>
      </c>
    </row>
    <row r="30" customFormat="false" ht="15" hidden="false" customHeight="true" outlineLevel="0" collapsed="false">
      <c r="A30" s="1" t="s">
        <v>44</v>
      </c>
      <c r="B30" s="15" t="n">
        <v>6400</v>
      </c>
      <c r="C30" s="6" t="s">
        <v>45</v>
      </c>
    </row>
    <row r="31" customFormat="false" ht="15" hidden="false" customHeight="true" outlineLevel="0" collapsed="false">
      <c r="A31" s="1" t="s">
        <v>46</v>
      </c>
      <c r="B31" s="15" t="n">
        <v>400</v>
      </c>
      <c r="C31" s="6" t="s">
        <v>47</v>
      </c>
    </row>
    <row r="32" customFormat="false" ht="15" hidden="false" customHeight="true" outlineLevel="0" collapsed="false">
      <c r="A32" s="1" t="s">
        <v>48</v>
      </c>
      <c r="B32" s="15" t="n">
        <v>198</v>
      </c>
      <c r="C32" s="6" t="s">
        <v>49</v>
      </c>
    </row>
    <row r="33" customFormat="false" ht="15" hidden="false" customHeight="true" outlineLevel="0" collapsed="false">
      <c r="A33" s="1" t="s">
        <v>50</v>
      </c>
      <c r="B33" s="15" t="n">
        <v>334</v>
      </c>
      <c r="C33" s="6" t="s">
        <v>51</v>
      </c>
    </row>
    <row r="34" customFormat="false" ht="15" hidden="false" customHeight="true" outlineLevel="0" collapsed="false">
      <c r="A34" s="1" t="s">
        <v>52</v>
      </c>
      <c r="B34" s="15" t="n">
        <v>499</v>
      </c>
      <c r="C34" s="6" t="s">
        <v>53</v>
      </c>
    </row>
    <row r="35" customFormat="false" ht="15" hidden="false" customHeight="true" outlineLevel="0" collapsed="false">
      <c r="A35" s="1" t="s">
        <v>54</v>
      </c>
      <c r="B35" s="14" t="n">
        <v>16000</v>
      </c>
      <c r="C35" s="6" t="s">
        <v>55</v>
      </c>
    </row>
    <row r="36" customFormat="false" ht="15" hidden="false" customHeight="true" outlineLevel="0" collapsed="false">
      <c r="A36" s="1" t="s">
        <v>56</v>
      </c>
      <c r="B36" s="14" t="n">
        <v>400</v>
      </c>
      <c r="C36" s="6" t="s">
        <v>57</v>
      </c>
    </row>
    <row r="37" customFormat="false" ht="15" hidden="false" customHeight="true" outlineLevel="0" collapsed="false">
      <c r="A37" s="1" t="s">
        <v>58</v>
      </c>
      <c r="B37" s="13" t="n">
        <v>2</v>
      </c>
      <c r="C37" s="6" t="s">
        <v>59</v>
      </c>
    </row>
    <row r="38" customFormat="false" ht="15" hidden="false" customHeight="true" outlineLevel="0" collapsed="false">
      <c r="A38" s="1" t="s">
        <v>60</v>
      </c>
      <c r="B38" s="13" t="n">
        <v>2</v>
      </c>
      <c r="C38" s="6" t="s">
        <v>61</v>
      </c>
    </row>
    <row r="39" customFormat="false" ht="15" hidden="false" customHeight="true" outlineLevel="0" collapsed="false">
      <c r="A39" s="1" t="s">
        <v>62</v>
      </c>
      <c r="B39" s="15" t="n">
        <v>570</v>
      </c>
      <c r="C39" s="6" t="s">
        <v>63</v>
      </c>
    </row>
    <row r="40" customFormat="false" ht="15" hidden="false" customHeight="true" outlineLevel="0" collapsed="false">
      <c r="A40" s="1" t="s">
        <v>64</v>
      </c>
      <c r="B40" s="15" t="n">
        <v>90</v>
      </c>
      <c r="C40" s="6" t="s">
        <v>65</v>
      </c>
    </row>
    <row r="41" customFormat="false" ht="15" hidden="false" customHeight="true" outlineLevel="0" collapsed="false">
      <c r="A41" s="1" t="s">
        <v>66</v>
      </c>
      <c r="B41" s="15" t="n">
        <v>1200</v>
      </c>
      <c r="C41" s="6" t="s">
        <v>67</v>
      </c>
    </row>
    <row r="42" customFormat="false" ht="15" hidden="false" customHeight="true" outlineLevel="0" collapsed="false">
      <c r="A42" s="1" t="s">
        <v>68</v>
      </c>
      <c r="B42" s="15" t="n">
        <v>250</v>
      </c>
      <c r="C42" s="6" t="s">
        <v>69</v>
      </c>
    </row>
    <row r="43" customFormat="false" ht="15" hidden="false" customHeight="true" outlineLevel="0" collapsed="false">
      <c r="A43" s="1" t="s">
        <v>70</v>
      </c>
      <c r="B43" s="15" t="n">
        <v>350</v>
      </c>
      <c r="C43" s="6" t="s">
        <v>71</v>
      </c>
    </row>
    <row r="44" customFormat="false" ht="15" hidden="false" customHeight="true" outlineLevel="0" collapsed="false">
      <c r="A44" s="1" t="s">
        <v>72</v>
      </c>
      <c r="B44" s="15" t="n">
        <v>100</v>
      </c>
      <c r="C44" s="6" t="s">
        <v>73</v>
      </c>
    </row>
    <row r="45" customFormat="false" ht="15" hidden="false" customHeight="true" outlineLevel="0" collapsed="false">
      <c r="A45" s="1" t="s">
        <v>74</v>
      </c>
      <c r="B45" s="15" t="n">
        <v>300</v>
      </c>
      <c r="C45" s="6" t="s">
        <v>75</v>
      </c>
    </row>
    <row r="46" customFormat="false" ht="15" hidden="false" customHeight="true" outlineLevel="0" collapsed="false">
      <c r="A46" s="1" t="s">
        <v>76</v>
      </c>
      <c r="B46" s="15" t="n">
        <v>320</v>
      </c>
      <c r="C46" s="6" t="s">
        <v>77</v>
      </c>
    </row>
    <row r="47" customFormat="false" ht="15" hidden="false" customHeight="true" outlineLevel="0" collapsed="false">
      <c r="A47" s="1" t="s">
        <v>78</v>
      </c>
      <c r="B47" s="14" t="n">
        <v>1083</v>
      </c>
      <c r="C47" s="6" t="s">
        <v>79</v>
      </c>
    </row>
    <row r="48" customFormat="false" ht="15" hidden="false" customHeight="true" outlineLevel="0" collapsed="false">
      <c r="A48" s="1" t="s">
        <v>80</v>
      </c>
      <c r="B48" s="15" t="n">
        <v>11000</v>
      </c>
      <c r="C48" s="6" t="s">
        <v>81</v>
      </c>
    </row>
    <row r="49" customFormat="false" ht="15" hidden="false" customHeight="true" outlineLevel="0" collapsed="false">
      <c r="A49" s="1" t="s">
        <v>82</v>
      </c>
      <c r="B49" s="15" t="n">
        <v>22000</v>
      </c>
      <c r="C49" s="6" t="s">
        <v>83</v>
      </c>
    </row>
    <row r="51" customFormat="false" ht="15" hidden="false" customHeight="true" outlineLevel="0" collapsed="false">
      <c r="A51" s="4" t="s">
        <v>84</v>
      </c>
      <c r="B51" s="4"/>
      <c r="C51" s="4"/>
      <c r="D51" s="4"/>
    </row>
    <row r="52" customFormat="false" ht="15" hidden="false" customHeight="true" outlineLevel="0" collapsed="false">
      <c r="A52" s="1" t="s">
        <v>85</v>
      </c>
      <c r="B52" s="15" t="n">
        <v>100</v>
      </c>
      <c r="C52" s="6" t="s">
        <v>86</v>
      </c>
    </row>
    <row r="53" customFormat="false" ht="15" hidden="false" customHeight="true" outlineLevel="0" collapsed="false">
      <c r="A53" s="1" t="s">
        <v>87</v>
      </c>
      <c r="B53" s="15" t="n">
        <v>20</v>
      </c>
      <c r="C53" s="6" t="s">
        <v>86</v>
      </c>
    </row>
    <row r="54" customFormat="false" ht="15" hidden="false" customHeight="true" outlineLevel="0" collapsed="false">
      <c r="A54" s="1" t="s">
        <v>88</v>
      </c>
      <c r="B54" s="15" t="n">
        <v>100</v>
      </c>
      <c r="C54" s="6" t="s">
        <v>86</v>
      </c>
    </row>
    <row r="55" customFormat="false" ht="15" hidden="false" customHeight="true" outlineLevel="0" collapsed="false">
      <c r="A55" s="1" t="s">
        <v>89</v>
      </c>
      <c r="B55" s="15" t="n">
        <v>27</v>
      </c>
      <c r="C55" s="6" t="s">
        <v>90</v>
      </c>
    </row>
    <row r="56" customFormat="false" ht="15" hidden="false" customHeight="true" outlineLevel="0" collapsed="false">
      <c r="A56" s="16" t="s">
        <v>91</v>
      </c>
      <c r="B56" s="15" t="n">
        <v>125</v>
      </c>
      <c r="C56" s="6" t="s">
        <v>92</v>
      </c>
    </row>
    <row r="57" customFormat="false" ht="15" hidden="false" customHeight="true" outlineLevel="0" collapsed="false">
      <c r="A57" s="16" t="s">
        <v>93</v>
      </c>
      <c r="B57" s="15" t="n">
        <v>75</v>
      </c>
      <c r="C57" s="6" t="s">
        <v>94</v>
      </c>
    </row>
    <row r="58" customFormat="false" ht="15" hidden="false" customHeight="true" outlineLevel="0" collapsed="false">
      <c r="A58" s="1" t="s">
        <v>95</v>
      </c>
      <c r="B58" s="15" t="n">
        <v>50</v>
      </c>
      <c r="C58" s="6" t="s">
        <v>96</v>
      </c>
    </row>
    <row r="59" customFormat="false" ht="15" hidden="false" customHeight="true" outlineLevel="0" collapsed="false">
      <c r="A59" s="1" t="s">
        <v>97</v>
      </c>
      <c r="B59" s="15" t="n">
        <v>350</v>
      </c>
      <c r="C59" s="6" t="s">
        <v>98</v>
      </c>
    </row>
  </sheetData>
  <mergeCells count="7">
    <mergeCell ref="A1:D1"/>
    <mergeCell ref="A2:D2"/>
    <mergeCell ref="A4:D4"/>
    <mergeCell ref="A11:D11"/>
    <mergeCell ref="A18:D18"/>
    <mergeCell ref="A24:D24"/>
    <mergeCell ref="A51:D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5" min="2" style="1" width="11"/>
  </cols>
  <sheetData>
    <row r="1" customFormat="false" ht="17.25" hidden="false" customHeight="true" outlineLevel="0" collapsed="false">
      <c r="A1" s="2" t="s">
        <v>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customFormat="false" ht="15" hidden="false" customHeight="true" outlineLevel="0" collapsed="false">
      <c r="A3" s="17" t="s">
        <v>100</v>
      </c>
      <c r="B3" s="17" t="s">
        <v>101</v>
      </c>
      <c r="C3" s="17" t="s">
        <v>102</v>
      </c>
      <c r="D3" s="17" t="s">
        <v>103</v>
      </c>
      <c r="E3" s="17" t="s">
        <v>104</v>
      </c>
      <c r="F3" s="17" t="s">
        <v>105</v>
      </c>
      <c r="G3" s="17" t="s">
        <v>106</v>
      </c>
      <c r="H3" s="17" t="s">
        <v>107</v>
      </c>
      <c r="I3" s="17" t="s">
        <v>108</v>
      </c>
      <c r="J3" s="17" t="s">
        <v>109</v>
      </c>
      <c r="K3" s="17" t="s">
        <v>110</v>
      </c>
      <c r="L3" s="17" t="s">
        <v>111</v>
      </c>
      <c r="M3" s="17" t="s">
        <v>112</v>
      </c>
      <c r="N3" s="17" t="s">
        <v>113</v>
      </c>
      <c r="O3" s="17" t="s">
        <v>114</v>
      </c>
    </row>
    <row r="4" customFormat="false" ht="15" hidden="false" customHeight="true" outlineLevel="0" collapsed="false">
      <c r="A4" s="4" t="s">
        <v>115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" hidden="false" customHeight="true" outlineLevel="0" collapsed="false">
      <c r="A5" s="1" t="s">
        <v>116</v>
      </c>
      <c r="B5" s="18" t="n">
        <f aca="false">Assumptions!$B$5</f>
        <v>8000</v>
      </c>
      <c r="C5" s="18" t="n">
        <f aca="false">Assumptions!$B$5</f>
        <v>8000</v>
      </c>
      <c r="D5" s="18" t="n">
        <f aca="false">Assumptions!$B$5</f>
        <v>8000</v>
      </c>
      <c r="E5" s="18" t="n">
        <f aca="false">Assumptions!$B$5</f>
        <v>8000</v>
      </c>
      <c r="F5" s="18" t="n">
        <f aca="false">Assumptions!$B$5</f>
        <v>8000</v>
      </c>
      <c r="G5" s="18" t="n">
        <f aca="false">Assumptions!$B$5</f>
        <v>8000</v>
      </c>
      <c r="H5" s="18" t="n">
        <f aca="false">Assumptions!$B$5</f>
        <v>8000</v>
      </c>
      <c r="I5" s="18" t="n">
        <f aca="false">Assumptions!$B$5</f>
        <v>8000</v>
      </c>
      <c r="J5" s="18" t="n">
        <f aca="false">Assumptions!$B$5</f>
        <v>8000</v>
      </c>
      <c r="K5" s="18" t="n">
        <f aca="false">Assumptions!$B$5</f>
        <v>8000</v>
      </c>
      <c r="L5" s="18" t="n">
        <f aca="false">Assumptions!$B$5</f>
        <v>8000</v>
      </c>
      <c r="M5" s="18" t="n">
        <f aca="false">Assumptions!$B$5</f>
        <v>8000</v>
      </c>
      <c r="N5" s="18" t="n">
        <f aca="false">SUM(B5:M5)</f>
        <v>96000</v>
      </c>
      <c r="O5" s="18" t="n">
        <f aca="false">AVERAGE(B5:M5)</f>
        <v>8000</v>
      </c>
    </row>
    <row r="6" customFormat="false" ht="15" hidden="false" customHeight="true" outlineLevel="0" collapsed="false">
      <c r="A6" s="1" t="s">
        <v>117</v>
      </c>
      <c r="B6" s="18" t="n">
        <f aca="false">Assumptions!$B$6</f>
        <v>1500</v>
      </c>
      <c r="C6" s="18" t="n">
        <f aca="false">Assumptions!$B$7</f>
        <v>3000</v>
      </c>
      <c r="D6" s="18" t="n">
        <f aca="false">Assumptions!$B$7</f>
        <v>3000</v>
      </c>
      <c r="E6" s="18" t="n">
        <f aca="false">Assumptions!$B$7</f>
        <v>3000</v>
      </c>
      <c r="F6" s="18" t="n">
        <f aca="false">Assumptions!$B$7</f>
        <v>3000</v>
      </c>
      <c r="G6" s="18" t="n">
        <f aca="false">Assumptions!$B$7</f>
        <v>3000</v>
      </c>
      <c r="H6" s="18" t="n">
        <f aca="false">Assumptions!$B$7</f>
        <v>3000</v>
      </c>
      <c r="I6" s="18" t="n">
        <f aca="false">Assumptions!$B$7</f>
        <v>3000</v>
      </c>
      <c r="J6" s="18" t="n">
        <f aca="false">Assumptions!$B$7</f>
        <v>3000</v>
      </c>
      <c r="K6" s="18" t="n">
        <f aca="false">Assumptions!$B$7</f>
        <v>3000</v>
      </c>
      <c r="L6" s="18" t="n">
        <f aca="false">Assumptions!$B$7</f>
        <v>3000</v>
      </c>
      <c r="M6" s="18" t="n">
        <f aca="false">Assumptions!$B$7</f>
        <v>3000</v>
      </c>
      <c r="N6" s="18" t="n">
        <f aca="false">SUM(B6:M6)</f>
        <v>34500</v>
      </c>
      <c r="O6" s="18" t="n">
        <f aca="false">AVERAGE(B6:M6)</f>
        <v>2875</v>
      </c>
    </row>
    <row r="7" customFormat="false" ht="15" hidden="false" customHeight="true" outlineLevel="0" collapsed="false">
      <c r="A7" s="1" t="s">
        <v>118</v>
      </c>
      <c r="B7" s="18" t="n">
        <f aca="false">IF(1&gt;=Assumptions!$B$9,Assumptions!$B$8,0)</f>
        <v>0</v>
      </c>
      <c r="C7" s="18" t="n">
        <f aca="false">IF(2&gt;=Assumptions!$B$9,Assumptions!$B$8,0)</f>
        <v>0</v>
      </c>
      <c r="D7" s="18" t="n">
        <f aca="false">IF(3&gt;=Assumptions!$B$9,Assumptions!$B$8,0)</f>
        <v>0</v>
      </c>
      <c r="E7" s="18" t="n">
        <f aca="false">IF(4&gt;=Assumptions!$B$9,Assumptions!$B$8,0)</f>
        <v>3000</v>
      </c>
      <c r="F7" s="18" t="n">
        <f aca="false">IF(5&gt;=Assumptions!$B$9,Assumptions!$B$8,0)</f>
        <v>3000</v>
      </c>
      <c r="G7" s="18" t="n">
        <f aca="false">IF(6&gt;=Assumptions!$B$9,Assumptions!$B$8,0)</f>
        <v>3000</v>
      </c>
      <c r="H7" s="18" t="n">
        <f aca="false">IF(7&gt;=Assumptions!$B$9,Assumptions!$B$8,0)</f>
        <v>3000</v>
      </c>
      <c r="I7" s="18" t="n">
        <f aca="false">IF(8&gt;=Assumptions!$B$9,Assumptions!$B$8,0)</f>
        <v>3000</v>
      </c>
      <c r="J7" s="18" t="n">
        <f aca="false">IF(9&gt;=Assumptions!$B$9,Assumptions!$B$8,0)</f>
        <v>3000</v>
      </c>
      <c r="K7" s="18" t="n">
        <f aca="false">IF(10&gt;=Assumptions!$B$9,Assumptions!$B$8,0)</f>
        <v>3000</v>
      </c>
      <c r="L7" s="18" t="n">
        <f aca="false">IF(11&gt;=Assumptions!$B$9,Assumptions!$B$8,0)</f>
        <v>3000</v>
      </c>
      <c r="M7" s="18" t="n">
        <f aca="false">IF(12&gt;=Assumptions!$B$9,Assumptions!$B$8,0)</f>
        <v>3000</v>
      </c>
      <c r="N7" s="18" t="n">
        <f aca="false">SUM(B7:M7)</f>
        <v>27000</v>
      </c>
      <c r="O7" s="18" t="n">
        <f aca="false">AVERAGE(B7:M7)</f>
        <v>2250</v>
      </c>
    </row>
    <row r="8" customFormat="false" ht="15" hidden="false" customHeight="true" outlineLevel="0" collapsed="false">
      <c r="A8" s="1" t="s">
        <v>119</v>
      </c>
      <c r="B8" s="18" t="n">
        <f aca="false">Assumptions!$B$10</f>
        <v>2000</v>
      </c>
      <c r="C8" s="18" t="n">
        <f aca="false">Assumptions!$B$10</f>
        <v>2000</v>
      </c>
      <c r="D8" s="18" t="n">
        <f aca="false">Assumptions!$B$10</f>
        <v>2000</v>
      </c>
      <c r="E8" s="18" t="n">
        <f aca="false">Assumptions!$B$10</f>
        <v>2000</v>
      </c>
      <c r="F8" s="18" t="n">
        <f aca="false">Assumptions!$B$10</f>
        <v>2000</v>
      </c>
      <c r="G8" s="18" t="n">
        <f aca="false">Assumptions!$B$10</f>
        <v>2000</v>
      </c>
      <c r="H8" s="18" t="n">
        <f aca="false">Assumptions!$B$10</f>
        <v>2000</v>
      </c>
      <c r="I8" s="18" t="n">
        <f aca="false">Assumptions!$B$10</f>
        <v>2000</v>
      </c>
      <c r="J8" s="18" t="n">
        <f aca="false">Assumptions!$B$10</f>
        <v>2000</v>
      </c>
      <c r="K8" s="18" t="n">
        <f aca="false">Assumptions!$B$10</f>
        <v>2000</v>
      </c>
      <c r="L8" s="18" t="n">
        <f aca="false">Assumptions!$B$10</f>
        <v>2000</v>
      </c>
      <c r="M8" s="18" t="n">
        <f aca="false">Assumptions!$B$10</f>
        <v>2000</v>
      </c>
      <c r="N8" s="18" t="n">
        <f aca="false">SUM(B8:M8)</f>
        <v>24000</v>
      </c>
      <c r="O8" s="18" t="n">
        <f aca="false">AVERAGE(B8:M8)</f>
        <v>2000</v>
      </c>
    </row>
    <row r="9" customFormat="false" ht="15" hidden="false" customHeight="true" outlineLevel="0" collapsed="false">
      <c r="A9" s="1" t="s">
        <v>120</v>
      </c>
      <c r="B9" s="19" t="n">
        <f aca="false">SUM(B5:B8)</f>
        <v>11500</v>
      </c>
      <c r="C9" s="19" t="n">
        <f aca="false">SUM(C5:C8)</f>
        <v>13000</v>
      </c>
      <c r="D9" s="19" t="n">
        <f aca="false">SUM(D5:D8)</f>
        <v>13000</v>
      </c>
      <c r="E9" s="19" t="n">
        <f aca="false">SUM(E5:E8)</f>
        <v>16000</v>
      </c>
      <c r="F9" s="19" t="n">
        <f aca="false">SUM(F5:F8)</f>
        <v>16000</v>
      </c>
      <c r="G9" s="19" t="n">
        <f aca="false">SUM(G5:G8)</f>
        <v>16000</v>
      </c>
      <c r="H9" s="19" t="n">
        <f aca="false">SUM(H5:H8)</f>
        <v>16000</v>
      </c>
      <c r="I9" s="19" t="n">
        <f aca="false">SUM(I5:I8)</f>
        <v>16000</v>
      </c>
      <c r="J9" s="19" t="n">
        <f aca="false">SUM(J5:J8)</f>
        <v>16000</v>
      </c>
      <c r="K9" s="19" t="n">
        <f aca="false">SUM(K5:K8)</f>
        <v>16000</v>
      </c>
      <c r="L9" s="19" t="n">
        <f aca="false">SUM(L5:L8)</f>
        <v>16000</v>
      </c>
      <c r="M9" s="19" t="n">
        <f aca="false">SUM(M5:M8)</f>
        <v>16000</v>
      </c>
      <c r="N9" s="19" t="n">
        <f aca="false">SUM(B9:M9)</f>
        <v>181500</v>
      </c>
      <c r="O9" s="19" t="n">
        <f aca="false">AVERAGE(B9:M9)</f>
        <v>15125</v>
      </c>
    </row>
    <row r="11" customFormat="false" ht="15" hidden="false" customHeight="true" outlineLevel="0" collapsed="false">
      <c r="A11" s="4" t="s">
        <v>121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customFormat="false" ht="15" hidden="false" customHeight="true" outlineLevel="0" collapsed="false">
      <c r="A12" s="1" t="s">
        <v>122</v>
      </c>
      <c r="B12" s="18" t="n">
        <f aca="false">Assumptions!$B$5*Assumptions!$B$15</f>
        <v>8000</v>
      </c>
      <c r="C12" s="18" t="n">
        <f aca="false">Assumptions!$B$5*Assumptions!$B$15</f>
        <v>8000</v>
      </c>
      <c r="D12" s="18" t="n">
        <f aca="false">Assumptions!$B$5*Assumptions!$B$15</f>
        <v>8000</v>
      </c>
      <c r="E12" s="18" t="n">
        <f aca="false">Assumptions!$B$5*Assumptions!$B$15</f>
        <v>8000</v>
      </c>
      <c r="F12" s="18" t="n">
        <f aca="false">Assumptions!$B$5*Assumptions!$B$15</f>
        <v>8000</v>
      </c>
      <c r="G12" s="18" t="n">
        <f aca="false">Assumptions!$B$5*Assumptions!$B$15</f>
        <v>8000</v>
      </c>
      <c r="H12" s="18" t="n">
        <f aca="false">Assumptions!$B$5*Assumptions!$B$15</f>
        <v>8000</v>
      </c>
      <c r="I12" s="18" t="n">
        <f aca="false">Assumptions!$B$5*Assumptions!$B$15</f>
        <v>8000</v>
      </c>
      <c r="J12" s="18" t="n">
        <f aca="false">Assumptions!$B$5*Assumptions!$B$15</f>
        <v>8000</v>
      </c>
      <c r="K12" s="18" t="n">
        <f aca="false">Assumptions!$B$5*Assumptions!$B$15</f>
        <v>8000</v>
      </c>
      <c r="L12" s="18" t="n">
        <f aca="false">Assumptions!$B$5*Assumptions!$B$15</f>
        <v>8000</v>
      </c>
      <c r="M12" s="18" t="n">
        <f aca="false">Assumptions!$B$5*Assumptions!$B$15</f>
        <v>8000</v>
      </c>
      <c r="N12" s="18" t="n">
        <f aca="false">SUM(B12:M12)</f>
        <v>96000</v>
      </c>
      <c r="O12" s="18" t="n">
        <f aca="false">AVERAGE(B12:M12)</f>
        <v>8000</v>
      </c>
    </row>
    <row r="13" customFormat="false" ht="15" hidden="false" customHeight="true" outlineLevel="0" collapsed="false">
      <c r="A13" s="1" t="s">
        <v>123</v>
      </c>
      <c r="B13" s="18" t="n">
        <f aca="false">IF(OR(Assumptions!$B$12=0,1&lt;Assumptions!$B$12),Assumptions!$B$6,0)</f>
        <v>1500</v>
      </c>
      <c r="C13" s="18" t="n">
        <f aca="false">IF(OR(Assumptions!$B$12=0,2&lt;Assumptions!$B$12),Assumptions!$B$7,0)</f>
        <v>3000</v>
      </c>
      <c r="D13" s="18" t="n">
        <f aca="false">IF(OR(Assumptions!$B$12=0,3&lt;Assumptions!$B$12),Assumptions!$B$7,0)</f>
        <v>3000</v>
      </c>
      <c r="E13" s="18" t="n">
        <f aca="false">IF(OR(Assumptions!$B$12=0,4&lt;Assumptions!$B$12),Assumptions!$B$7,0)</f>
        <v>3000</v>
      </c>
      <c r="F13" s="18" t="n">
        <f aca="false">IF(OR(Assumptions!$B$12=0,5&lt;Assumptions!$B$12),Assumptions!$B$7,0)</f>
        <v>3000</v>
      </c>
      <c r="G13" s="18" t="n">
        <f aca="false">IF(OR(Assumptions!$B$12=0,6&lt;Assumptions!$B$12),Assumptions!$B$7,0)</f>
        <v>3000</v>
      </c>
      <c r="H13" s="18" t="n">
        <f aca="false">IF(OR(Assumptions!$B$12=0,7&lt;Assumptions!$B$12),Assumptions!$B$7,0)</f>
        <v>3000</v>
      </c>
      <c r="I13" s="18" t="n">
        <f aca="false">IF(OR(Assumptions!$B$12=0,8&lt;Assumptions!$B$12),Assumptions!$B$7,0)</f>
        <v>3000</v>
      </c>
      <c r="J13" s="18" t="n">
        <f aca="false">IF(OR(Assumptions!$B$12=0,9&lt;Assumptions!$B$12),Assumptions!$B$7,0)</f>
        <v>3000</v>
      </c>
      <c r="K13" s="18" t="n">
        <f aca="false">IF(OR(Assumptions!$B$12=0,10&lt;Assumptions!$B$12),Assumptions!$B$7,0)</f>
        <v>0</v>
      </c>
      <c r="L13" s="18" t="n">
        <f aca="false">IF(OR(Assumptions!$B$12=0,11&lt;Assumptions!$B$12),Assumptions!$B$7,0)</f>
        <v>0</v>
      </c>
      <c r="M13" s="18" t="n">
        <f aca="false">IF(OR(Assumptions!$B$12=0,12&lt;Assumptions!$B$12),Assumptions!$B$7,0)</f>
        <v>0</v>
      </c>
      <c r="N13" s="18" t="n">
        <f aca="false">SUM(B13:M13)</f>
        <v>25500</v>
      </c>
      <c r="O13" s="18" t="n">
        <f aca="false">AVERAGE(B13:M13)</f>
        <v>2125</v>
      </c>
    </row>
    <row r="14" customFormat="false" ht="15" hidden="false" customHeight="true" outlineLevel="0" collapsed="false">
      <c r="A14" s="1" t="s">
        <v>124</v>
      </c>
      <c r="B14" s="18" t="n">
        <f aca="false">IF(AND(1&gt;=Assumptions!$B$9,OR(Assumptions!$B$13=0,1&lt;Assumptions!$B$13)),Assumptions!$B$8,0)</f>
        <v>0</v>
      </c>
      <c r="C14" s="18" t="n">
        <f aca="false">IF(AND(2&gt;=Assumptions!$B$9,OR(Assumptions!$B$13=0,2&lt;Assumptions!$B$13)),Assumptions!$B$8,0)</f>
        <v>0</v>
      </c>
      <c r="D14" s="18" t="n">
        <f aca="false">IF(AND(3&gt;=Assumptions!$B$9,OR(Assumptions!$B$13=0,3&lt;Assumptions!$B$13)),Assumptions!$B$8,0)</f>
        <v>0</v>
      </c>
      <c r="E14" s="18" t="n">
        <f aca="false">IF(AND(4&gt;=Assumptions!$B$9,OR(Assumptions!$B$13=0,4&lt;Assumptions!$B$13)),Assumptions!$B$8,0)</f>
        <v>3000</v>
      </c>
      <c r="F14" s="18" t="n">
        <f aca="false">IF(AND(5&gt;=Assumptions!$B$9,OR(Assumptions!$B$13=0,5&lt;Assumptions!$B$13)),Assumptions!$B$8,0)</f>
        <v>3000</v>
      </c>
      <c r="G14" s="18" t="n">
        <f aca="false">IF(AND(6&gt;=Assumptions!$B$9,OR(Assumptions!$B$13=0,6&lt;Assumptions!$B$13)),Assumptions!$B$8,0)</f>
        <v>3000</v>
      </c>
      <c r="H14" s="18" t="n">
        <f aca="false">IF(AND(7&gt;=Assumptions!$B$9,OR(Assumptions!$B$13=0,7&lt;Assumptions!$B$13)),Assumptions!$B$8,0)</f>
        <v>3000</v>
      </c>
      <c r="I14" s="18" t="n">
        <f aca="false">IF(AND(8&gt;=Assumptions!$B$9,OR(Assumptions!$B$13=0,8&lt;Assumptions!$B$13)),Assumptions!$B$8,0)</f>
        <v>3000</v>
      </c>
      <c r="J14" s="18" t="n">
        <f aca="false">IF(AND(9&gt;=Assumptions!$B$9,OR(Assumptions!$B$13=0,9&lt;Assumptions!$B$13)),Assumptions!$B$8,0)</f>
        <v>0</v>
      </c>
      <c r="K14" s="18" t="n">
        <f aca="false">IF(AND(10&gt;=Assumptions!$B$9,OR(Assumptions!$B$13=0,10&lt;Assumptions!$B$13)),Assumptions!$B$8,0)</f>
        <v>0</v>
      </c>
      <c r="L14" s="18" t="n">
        <f aca="false">IF(AND(11&gt;=Assumptions!$B$9,OR(Assumptions!$B$13=0,11&lt;Assumptions!$B$13)),Assumptions!$B$8,0)</f>
        <v>0</v>
      </c>
      <c r="M14" s="18" t="n">
        <f aca="false">IF(AND(12&gt;=Assumptions!$B$9,OR(Assumptions!$B$13=0,12&lt;Assumptions!$B$13)),Assumptions!$B$8,0)</f>
        <v>0</v>
      </c>
      <c r="N14" s="18" t="n">
        <f aca="false">SUM(B14:M14)</f>
        <v>15000</v>
      </c>
      <c r="O14" s="18" t="n">
        <f aca="false">AVERAGE(B14:M14)</f>
        <v>1250</v>
      </c>
    </row>
    <row r="15" customFormat="false" ht="15" hidden="false" customHeight="true" outlineLevel="0" collapsed="false">
      <c r="A15" s="1" t="s">
        <v>125</v>
      </c>
      <c r="B15" s="18" t="n">
        <f aca="false">Assumptions!$B$10*(1-Assumptions!$B$14)</f>
        <v>1000</v>
      </c>
      <c r="C15" s="18" t="n">
        <f aca="false">Assumptions!$B$10*(1-Assumptions!$B$14)</f>
        <v>1000</v>
      </c>
      <c r="D15" s="18" t="n">
        <f aca="false">Assumptions!$B$10*(1-Assumptions!$B$14)</f>
        <v>1000</v>
      </c>
      <c r="E15" s="18" t="n">
        <f aca="false">Assumptions!$B$10*(1-Assumptions!$B$14)</f>
        <v>1000</v>
      </c>
      <c r="F15" s="18" t="n">
        <f aca="false">Assumptions!$B$10*(1-Assumptions!$B$14)</f>
        <v>1000</v>
      </c>
      <c r="G15" s="18" t="n">
        <f aca="false">Assumptions!$B$10*(1-Assumptions!$B$14)</f>
        <v>1000</v>
      </c>
      <c r="H15" s="18" t="n">
        <f aca="false">Assumptions!$B$10*(1-Assumptions!$B$14)</f>
        <v>1000</v>
      </c>
      <c r="I15" s="18" t="n">
        <f aca="false">Assumptions!$B$10*(1-Assumptions!$B$14)</f>
        <v>1000</v>
      </c>
      <c r="J15" s="18" t="n">
        <f aca="false">Assumptions!$B$10*(1-Assumptions!$B$14)</f>
        <v>1000</v>
      </c>
      <c r="K15" s="18" t="n">
        <f aca="false">Assumptions!$B$10*(1-Assumptions!$B$14)</f>
        <v>1000</v>
      </c>
      <c r="L15" s="18" t="n">
        <f aca="false">Assumptions!$B$10*(1-Assumptions!$B$14)</f>
        <v>1000</v>
      </c>
      <c r="M15" s="18" t="n">
        <f aca="false">Assumptions!$B$10*(1-Assumptions!$B$14)</f>
        <v>1000</v>
      </c>
      <c r="N15" s="18" t="n">
        <f aca="false">SUM(B15:M15)</f>
        <v>12000</v>
      </c>
      <c r="O15" s="18" t="n">
        <f aca="false">AVERAGE(B15:M15)</f>
        <v>1000</v>
      </c>
    </row>
    <row r="16" customFormat="false" ht="15" hidden="false" customHeight="true" outlineLevel="0" collapsed="false">
      <c r="A16" s="1" t="s">
        <v>126</v>
      </c>
      <c r="B16" s="20" t="n">
        <f aca="false">SUM(B12:B15)</f>
        <v>10500</v>
      </c>
      <c r="C16" s="20" t="n">
        <f aca="false">SUM(C12:C15)</f>
        <v>12000</v>
      </c>
      <c r="D16" s="20" t="n">
        <f aca="false">SUM(D12:D15)</f>
        <v>12000</v>
      </c>
      <c r="E16" s="20" t="n">
        <f aca="false">SUM(E12:E15)</f>
        <v>15000</v>
      </c>
      <c r="F16" s="20" t="n">
        <f aca="false">SUM(F12:F15)</f>
        <v>15000</v>
      </c>
      <c r="G16" s="20" t="n">
        <f aca="false">SUM(G12:G15)</f>
        <v>15000</v>
      </c>
      <c r="H16" s="20" t="n">
        <f aca="false">SUM(H12:H15)</f>
        <v>15000</v>
      </c>
      <c r="I16" s="20" t="n">
        <f aca="false">SUM(I12:I15)</f>
        <v>15000</v>
      </c>
      <c r="J16" s="20" t="n">
        <f aca="false">SUM(J12:J15)</f>
        <v>12000</v>
      </c>
      <c r="K16" s="20" t="n">
        <f aca="false">SUM(K12:K15)</f>
        <v>9000</v>
      </c>
      <c r="L16" s="20" t="n">
        <f aca="false">SUM(L12:L15)</f>
        <v>9000</v>
      </c>
      <c r="M16" s="20" t="n">
        <f aca="false">SUM(M12:M15)</f>
        <v>9000</v>
      </c>
      <c r="N16" s="20" t="n">
        <f aca="false">SUM(B16:M16)</f>
        <v>148500</v>
      </c>
      <c r="O16" s="20" t="n">
        <f aca="false">AVERAGE(B16:M16)</f>
        <v>12375</v>
      </c>
    </row>
    <row r="18" customFormat="false" ht="15" hidden="false" customHeight="true" outlineLevel="0" collapsed="false">
      <c r="A18" s="4" t="s">
        <v>127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customFormat="false" ht="15" hidden="false" customHeight="true" outlineLevel="0" collapsed="false">
      <c r="A19" s="1" t="s">
        <v>116</v>
      </c>
      <c r="B19" s="18" t="n">
        <f aca="false">Assumptions!$B$5</f>
        <v>8000</v>
      </c>
      <c r="C19" s="18" t="n">
        <f aca="false">Assumptions!$B$5</f>
        <v>8000</v>
      </c>
      <c r="D19" s="18" t="n">
        <f aca="false">Assumptions!$B$5</f>
        <v>8000</v>
      </c>
      <c r="E19" s="18" t="n">
        <f aca="false">Assumptions!$B$5</f>
        <v>8000</v>
      </c>
      <c r="F19" s="18" t="n">
        <f aca="false">Assumptions!$B$5</f>
        <v>8000</v>
      </c>
      <c r="G19" s="18" t="n">
        <f aca="false">Assumptions!$B$5</f>
        <v>8000</v>
      </c>
      <c r="H19" s="18" t="n">
        <f aca="false">Assumptions!$B$5</f>
        <v>8000</v>
      </c>
      <c r="I19" s="18" t="n">
        <f aca="false">Assumptions!$B$5</f>
        <v>8000</v>
      </c>
      <c r="J19" s="18" t="n">
        <f aca="false">Assumptions!$B$5</f>
        <v>8000</v>
      </c>
      <c r="K19" s="18" t="n">
        <f aca="false">Assumptions!$B$5</f>
        <v>8000</v>
      </c>
      <c r="L19" s="18" t="n">
        <f aca="false">Assumptions!$B$5</f>
        <v>8000</v>
      </c>
      <c r="M19" s="18" t="n">
        <f aca="false">Assumptions!$B$5</f>
        <v>8000</v>
      </c>
      <c r="N19" s="18" t="n">
        <f aca="false">SUM(B19:M19)</f>
        <v>96000</v>
      </c>
      <c r="O19" s="18" t="n">
        <f aca="false">AVERAGE(B19:M19)</f>
        <v>8000</v>
      </c>
    </row>
    <row r="20" customFormat="false" ht="15" hidden="false" customHeight="true" outlineLevel="0" collapsed="false">
      <c r="A20" s="1" t="s">
        <v>128</v>
      </c>
      <c r="B20" s="18" t="n">
        <f aca="false">Assumptions!$B$6</f>
        <v>1500</v>
      </c>
      <c r="C20" s="18" t="n">
        <f aca="false">Assumptions!$B$7</f>
        <v>3000</v>
      </c>
      <c r="D20" s="18" t="n">
        <f aca="false">Assumptions!$B$7</f>
        <v>3000</v>
      </c>
      <c r="E20" s="18" t="n">
        <f aca="false">Assumptions!$B$7</f>
        <v>3000</v>
      </c>
      <c r="F20" s="18" t="n">
        <f aca="false">Assumptions!$B$7</f>
        <v>3000</v>
      </c>
      <c r="G20" s="18" t="n">
        <f aca="false">Assumptions!$B$7</f>
        <v>3000</v>
      </c>
      <c r="H20" s="18" t="n">
        <f aca="false">Assumptions!$B$7</f>
        <v>3000</v>
      </c>
      <c r="I20" s="18" t="n">
        <f aca="false">Assumptions!$B$7</f>
        <v>3000</v>
      </c>
      <c r="J20" s="18" t="n">
        <f aca="false">Assumptions!$B$7</f>
        <v>3000</v>
      </c>
      <c r="K20" s="18" t="n">
        <f aca="false">Assumptions!$B$7</f>
        <v>3000</v>
      </c>
      <c r="L20" s="18" t="n">
        <f aca="false">Assumptions!$B$7</f>
        <v>3000</v>
      </c>
      <c r="M20" s="18" t="n">
        <f aca="false">Assumptions!$B$7</f>
        <v>3000</v>
      </c>
      <c r="N20" s="18" t="n">
        <f aca="false">SUM(B20:M20)</f>
        <v>34500</v>
      </c>
      <c r="O20" s="18" t="n">
        <f aca="false">AVERAGE(B20:M20)</f>
        <v>2875</v>
      </c>
    </row>
    <row r="21" customFormat="false" ht="15" hidden="false" customHeight="true" outlineLevel="0" collapsed="false">
      <c r="A21" s="1" t="s">
        <v>118</v>
      </c>
      <c r="B21" s="18" t="n">
        <f aca="false">IF(1&gt;=Assumptions!$B$9,Assumptions!$B$8,0)</f>
        <v>0</v>
      </c>
      <c r="C21" s="18" t="n">
        <f aca="false">IF(2&gt;=Assumptions!$B$9,Assumptions!$B$8,0)</f>
        <v>0</v>
      </c>
      <c r="D21" s="18" t="n">
        <f aca="false">IF(3&gt;=Assumptions!$B$9,Assumptions!$B$8,0)</f>
        <v>0</v>
      </c>
      <c r="E21" s="18" t="n">
        <f aca="false">IF(4&gt;=Assumptions!$B$9,Assumptions!$B$8,0)</f>
        <v>3000</v>
      </c>
      <c r="F21" s="18" t="n">
        <f aca="false">IF(5&gt;=Assumptions!$B$9,Assumptions!$B$8,0)</f>
        <v>3000</v>
      </c>
      <c r="G21" s="18" t="n">
        <f aca="false">IF(6&gt;=Assumptions!$B$9,Assumptions!$B$8,0)</f>
        <v>3000</v>
      </c>
      <c r="H21" s="18" t="n">
        <f aca="false">IF(7&gt;=Assumptions!$B$9,Assumptions!$B$8,0)</f>
        <v>3000</v>
      </c>
      <c r="I21" s="18" t="n">
        <f aca="false">IF(8&gt;=Assumptions!$B$9,Assumptions!$B$8,0)</f>
        <v>3000</v>
      </c>
      <c r="J21" s="18" t="n">
        <f aca="false">IF(9&gt;=Assumptions!$B$9,Assumptions!$B$8,0)</f>
        <v>3000</v>
      </c>
      <c r="K21" s="18" t="n">
        <f aca="false">IF(10&gt;=Assumptions!$B$9,Assumptions!$B$8,0)</f>
        <v>3000</v>
      </c>
      <c r="L21" s="18" t="n">
        <f aca="false">IF(11&gt;=Assumptions!$B$9,Assumptions!$B$8,0)</f>
        <v>3000</v>
      </c>
      <c r="M21" s="18" t="n">
        <f aca="false">IF(12&gt;=Assumptions!$B$9,Assumptions!$B$8,0)</f>
        <v>3000</v>
      </c>
      <c r="N21" s="18" t="n">
        <f aca="false">SUM(B21:M21)</f>
        <v>27000</v>
      </c>
      <c r="O21" s="18" t="n">
        <f aca="false">AVERAGE(B21:M21)</f>
        <v>2250</v>
      </c>
    </row>
    <row r="22" customFormat="false" ht="15" hidden="false" customHeight="true" outlineLevel="0" collapsed="false">
      <c r="A22" s="1" t="s">
        <v>129</v>
      </c>
      <c r="B22" s="18" t="n">
        <f aca="false">Assumptions!$B$10*(1+Assumptions!$B$16)</f>
        <v>2500</v>
      </c>
      <c r="C22" s="18" t="n">
        <f aca="false">Assumptions!$B$10*(1+Assumptions!$B$16)</f>
        <v>2500</v>
      </c>
      <c r="D22" s="18" t="n">
        <f aca="false">Assumptions!$B$10*(1+Assumptions!$B$16)</f>
        <v>2500</v>
      </c>
      <c r="E22" s="18" t="n">
        <f aca="false">Assumptions!$B$10*(1+Assumptions!$B$16)</f>
        <v>2500</v>
      </c>
      <c r="F22" s="18" t="n">
        <f aca="false">Assumptions!$B$10*(1+Assumptions!$B$16)</f>
        <v>2500</v>
      </c>
      <c r="G22" s="18" t="n">
        <f aca="false">Assumptions!$B$10*(1+Assumptions!$B$16)</f>
        <v>2500</v>
      </c>
      <c r="H22" s="18" t="n">
        <f aca="false">Assumptions!$B$10*(1+Assumptions!$B$16)</f>
        <v>2500</v>
      </c>
      <c r="I22" s="18" t="n">
        <f aca="false">Assumptions!$B$10*(1+Assumptions!$B$16)</f>
        <v>2500</v>
      </c>
      <c r="J22" s="18" t="n">
        <f aca="false">Assumptions!$B$10*(1+Assumptions!$B$16)</f>
        <v>2500</v>
      </c>
      <c r="K22" s="18" t="n">
        <f aca="false">Assumptions!$B$10*(1+Assumptions!$B$16)</f>
        <v>2500</v>
      </c>
      <c r="L22" s="18" t="n">
        <f aca="false">Assumptions!$B$10*(1+Assumptions!$B$16)</f>
        <v>2500</v>
      </c>
      <c r="M22" s="18" t="n">
        <f aca="false">Assumptions!$B$10*(1+Assumptions!$B$16)</f>
        <v>2500</v>
      </c>
      <c r="N22" s="18" t="n">
        <f aca="false">SUM(B22:M22)</f>
        <v>30000</v>
      </c>
      <c r="O22" s="18" t="n">
        <f aca="false">AVERAGE(B22:M22)</f>
        <v>2500</v>
      </c>
    </row>
    <row r="23" customFormat="false" ht="15" hidden="false" customHeight="true" outlineLevel="0" collapsed="false">
      <c r="A23" s="1" t="s">
        <v>130</v>
      </c>
      <c r="B23" s="21" t="n">
        <f aca="false">SUM(B19:B22)</f>
        <v>12000</v>
      </c>
      <c r="C23" s="21" t="n">
        <f aca="false">SUM(C19:C22)</f>
        <v>13500</v>
      </c>
      <c r="D23" s="21" t="n">
        <f aca="false">SUM(D19:D22)</f>
        <v>13500</v>
      </c>
      <c r="E23" s="21" t="n">
        <f aca="false">SUM(E19:E22)</f>
        <v>16500</v>
      </c>
      <c r="F23" s="21" t="n">
        <f aca="false">SUM(F19:F22)</f>
        <v>16500</v>
      </c>
      <c r="G23" s="21" t="n">
        <f aca="false">SUM(G19:G22)</f>
        <v>16500</v>
      </c>
      <c r="H23" s="21" t="n">
        <f aca="false">SUM(H19:H22)</f>
        <v>16500</v>
      </c>
      <c r="I23" s="21" t="n">
        <f aca="false">SUM(I19:I22)</f>
        <v>16500</v>
      </c>
      <c r="J23" s="21" t="n">
        <f aca="false">SUM(J19:J22)</f>
        <v>16500</v>
      </c>
      <c r="K23" s="21" t="n">
        <f aca="false">SUM(K19:K22)</f>
        <v>16500</v>
      </c>
      <c r="L23" s="21" t="n">
        <f aca="false">SUM(L19:L22)</f>
        <v>16500</v>
      </c>
      <c r="M23" s="21" t="n">
        <f aca="false">SUM(M19:M22)</f>
        <v>16500</v>
      </c>
      <c r="N23" s="21" t="n">
        <f aca="false">SUM(B23:M23)</f>
        <v>187500</v>
      </c>
      <c r="O23" s="21" t="n">
        <f aca="false">AVERAGE(B23:M23)</f>
        <v>15625</v>
      </c>
    </row>
  </sheetData>
  <mergeCells count="4">
    <mergeCell ref="A1:O1"/>
    <mergeCell ref="A4:O4"/>
    <mergeCell ref="A11:O11"/>
    <mergeCell ref="A18:O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</cols>
  <sheetData>
    <row r="1" customFormat="false" ht="17.25" hidden="false" customHeight="true" outlineLevel="0" collapsed="false">
      <c r="A1" s="2" t="s">
        <v>131</v>
      </c>
      <c r="B1" s="2"/>
      <c r="C1" s="2"/>
    </row>
    <row r="3" customFormat="false" ht="15" hidden="false" customHeight="true" outlineLevel="0" collapsed="false">
      <c r="A3" s="17" t="s">
        <v>132</v>
      </c>
      <c r="B3" s="17" t="s">
        <v>133</v>
      </c>
      <c r="C3" s="17" t="s">
        <v>134</v>
      </c>
    </row>
    <row r="4" customFormat="false" ht="15" hidden="false" customHeight="true" outlineLevel="0" collapsed="false">
      <c r="A4" s="1" t="s">
        <v>135</v>
      </c>
      <c r="B4" s="22" t="n">
        <f aca="false">Forecast!N9</f>
        <v>181500</v>
      </c>
      <c r="C4" s="22" t="n">
        <f aca="false">Forecast!O9</f>
        <v>15125</v>
      </c>
    </row>
    <row r="5" customFormat="false" ht="15" hidden="false" customHeight="true" outlineLevel="0" collapsed="false">
      <c r="A5" s="1" t="s">
        <v>136</v>
      </c>
      <c r="B5" s="22" t="n">
        <f aca="false">Forecast!N16</f>
        <v>148500</v>
      </c>
      <c r="C5" s="22" t="n">
        <f aca="false">Forecast!O16</f>
        <v>12375</v>
      </c>
    </row>
    <row r="6" customFormat="false" ht="15" hidden="false" customHeight="true" outlineLevel="0" collapsed="false">
      <c r="A6" s="1" t="s">
        <v>137</v>
      </c>
      <c r="B6" s="22" t="n">
        <f aca="false">Forecast!N23</f>
        <v>187500</v>
      </c>
      <c r="C6" s="22" t="n">
        <f aca="false">Forecast!O23</f>
        <v>15625</v>
      </c>
    </row>
    <row r="8" customFormat="false" ht="15" hidden="false" customHeight="true" outlineLevel="0" collapsed="false">
      <c r="A8" s="4" t="s">
        <v>138</v>
      </c>
      <c r="B8" s="4"/>
      <c r="C8" s="4"/>
    </row>
    <row r="9" customFormat="false" ht="15" hidden="false" customHeight="true" outlineLevel="0" collapsed="false">
      <c r="A9" s="1" t="s">
        <v>116</v>
      </c>
      <c r="B9" s="18" t="n">
        <f aca="false">Forecast!N5</f>
        <v>96000</v>
      </c>
      <c r="C9" s="23" t="n">
        <f aca="false">B9/$B$4</f>
        <v>0.528925619834711</v>
      </c>
    </row>
    <row r="10" customFormat="false" ht="15" hidden="false" customHeight="true" outlineLevel="0" collapsed="false">
      <c r="A10" s="1" t="s">
        <v>117</v>
      </c>
      <c r="B10" s="18" t="n">
        <f aca="false">Forecast!N6</f>
        <v>34500</v>
      </c>
      <c r="C10" s="23" t="n">
        <f aca="false">B10/$B$4</f>
        <v>0.190082644628099</v>
      </c>
    </row>
    <row r="11" customFormat="false" ht="15" hidden="false" customHeight="true" outlineLevel="0" collapsed="false">
      <c r="A11" s="1" t="s">
        <v>139</v>
      </c>
      <c r="B11" s="18" t="n">
        <f aca="false">Forecast!N7</f>
        <v>27000</v>
      </c>
      <c r="C11" s="23" t="n">
        <f aca="false">B11/$B$4</f>
        <v>0.148760330578512</v>
      </c>
    </row>
    <row r="12" customFormat="false" ht="15" hidden="false" customHeight="true" outlineLevel="0" collapsed="false">
      <c r="A12" s="1" t="s">
        <v>140</v>
      </c>
      <c r="B12" s="18" t="n">
        <f aca="false">Forecast!N8</f>
        <v>24000</v>
      </c>
      <c r="C12" s="23" t="n">
        <f aca="false">B12/$B$4</f>
        <v>0.132231404958678</v>
      </c>
    </row>
    <row r="13" customFormat="false" ht="15" hidden="false" customHeight="true" outlineLevel="0" collapsed="false">
      <c r="A13" s="24" t="s">
        <v>113</v>
      </c>
      <c r="B13" s="25" t="n">
        <f aca="false">SUM(B9:B12)</f>
        <v>181500</v>
      </c>
      <c r="C13" s="26" t="n">
        <f aca="false">SUM(C9:C12)</f>
        <v>1</v>
      </c>
    </row>
    <row r="15" customFormat="false" ht="15" hidden="false" customHeight="true" outlineLevel="0" collapsed="false">
      <c r="A15" s="4" t="s">
        <v>141</v>
      </c>
      <c r="B15" s="4"/>
      <c r="C15" s="4"/>
    </row>
    <row r="16" customFormat="false" ht="23.25" hidden="false" customHeight="true" outlineLevel="0" collapsed="false">
      <c r="A16" s="27" t="s">
        <v>142</v>
      </c>
      <c r="B16" s="27"/>
      <c r="C16" s="27"/>
    </row>
    <row r="17" customFormat="false" ht="23.25" hidden="false" customHeight="true" outlineLevel="0" collapsed="false">
      <c r="A17" s="27" t="s">
        <v>143</v>
      </c>
      <c r="B17" s="27"/>
      <c r="C17" s="27"/>
    </row>
    <row r="18" customFormat="false" ht="23.25" hidden="false" customHeight="true" outlineLevel="0" collapsed="false">
      <c r="A18" s="27" t="s">
        <v>144</v>
      </c>
      <c r="B18" s="27"/>
      <c r="C18" s="27"/>
    </row>
    <row r="19" customFormat="false" ht="23.25" hidden="false" customHeight="true" outlineLevel="0" collapsed="false">
      <c r="A19" s="27" t="s">
        <v>145</v>
      </c>
      <c r="B19" s="27"/>
      <c r="C19" s="27"/>
    </row>
    <row r="20" customFormat="false" ht="23.25" hidden="false" customHeight="true" outlineLevel="0" collapsed="false">
      <c r="A20" s="27" t="s">
        <v>146</v>
      </c>
      <c r="B20" s="27"/>
      <c r="C20" s="27"/>
    </row>
    <row r="21" customFormat="false" ht="23.25" hidden="false" customHeight="true" outlineLevel="0" collapsed="false">
      <c r="A21" s="27" t="s">
        <v>147</v>
      </c>
      <c r="B21" s="27"/>
      <c r="C21" s="27"/>
    </row>
    <row r="22" customFormat="false" ht="15" hidden="false" customHeight="true" outlineLevel="0" collapsed="false">
      <c r="A22" s="4" t="s">
        <v>148</v>
      </c>
      <c r="B22" s="4"/>
      <c r="C22" s="4"/>
    </row>
    <row r="23" customFormat="false" ht="15" hidden="false" customHeight="true" outlineLevel="0" collapsed="false">
      <c r="A23" s="17" t="s">
        <v>132</v>
      </c>
      <c r="B23" s="17" t="s">
        <v>149</v>
      </c>
      <c r="C23" s="17" t="s">
        <v>150</v>
      </c>
    </row>
    <row r="24" customFormat="false" ht="15" hidden="false" customHeight="true" outlineLevel="0" collapsed="false">
      <c r="A24" s="1" t="s">
        <v>135</v>
      </c>
      <c r="B24" s="22" t="n">
        <f aca="false">Taxes!B42</f>
        <v>159086.342092</v>
      </c>
      <c r="C24" s="22" t="n">
        <f aca="false">Taxes!B43</f>
        <v>13257.1951743333</v>
      </c>
    </row>
    <row r="25" customFormat="false" ht="15" hidden="false" customHeight="true" outlineLevel="0" collapsed="false">
      <c r="A25" s="1" t="s">
        <v>151</v>
      </c>
      <c r="B25" s="22" t="n">
        <f aca="false">Taxes!C42</f>
        <v>136146.77146</v>
      </c>
      <c r="C25" s="22" t="n">
        <f aca="false">Taxes!C43</f>
        <v>11345.5642883333</v>
      </c>
    </row>
    <row r="26" customFormat="false" ht="15" hidden="false" customHeight="true" outlineLevel="0" collapsed="false">
      <c r="A26" s="1" t="s">
        <v>137</v>
      </c>
      <c r="B26" s="22" t="n">
        <f aca="false">Taxes!D42</f>
        <v>163257.173116</v>
      </c>
      <c r="C26" s="22" t="n">
        <f aca="false">Taxes!D43</f>
        <v>13604.7644263333</v>
      </c>
    </row>
    <row r="28" customFormat="false" ht="15" hidden="false" customHeight="true" outlineLevel="0" collapsed="false">
      <c r="A28" s="4" t="s">
        <v>152</v>
      </c>
      <c r="B28" s="4"/>
      <c r="C28" s="4"/>
    </row>
    <row r="29" customFormat="false" ht="15" hidden="false" customHeight="true" outlineLevel="0" collapsed="false">
      <c r="A29" s="17" t="s">
        <v>132</v>
      </c>
      <c r="B29" s="17" t="s">
        <v>153</v>
      </c>
      <c r="C29" s="17" t="s">
        <v>154</v>
      </c>
    </row>
    <row r="30" customFormat="false" ht="15" hidden="false" customHeight="true" outlineLevel="0" collapsed="false">
      <c r="A30" s="1" t="s">
        <v>135</v>
      </c>
      <c r="B30" s="22" t="n">
        <f aca="false">Taxes!B41</f>
        <v>22413.657908</v>
      </c>
      <c r="C30" s="28" t="n">
        <f aca="false">Taxes!B44</f>
        <v>0.123491228143251</v>
      </c>
    </row>
    <row r="31" customFormat="false" ht="15" hidden="false" customHeight="true" outlineLevel="0" collapsed="false">
      <c r="A31" s="1" t="s">
        <v>151</v>
      </c>
      <c r="B31" s="22" t="n">
        <f aca="false">Taxes!C41</f>
        <v>12353.22854</v>
      </c>
      <c r="C31" s="28" t="n">
        <f aca="false">Taxes!C44</f>
        <v>0.0831867241750842</v>
      </c>
    </row>
    <row r="32" customFormat="false" ht="15" hidden="false" customHeight="true" outlineLevel="0" collapsed="false">
      <c r="A32" s="1" t="s">
        <v>137</v>
      </c>
      <c r="B32" s="22" t="n">
        <f aca="false">Taxes!D41</f>
        <v>24242.826884</v>
      </c>
      <c r="C32" s="28" t="n">
        <f aca="false">Taxes!D44</f>
        <v>0.129295076714667</v>
      </c>
    </row>
    <row r="34" customFormat="false" ht="15" hidden="false" customHeight="true" outlineLevel="0" collapsed="false">
      <c r="A34" s="4" t="s">
        <v>155</v>
      </c>
      <c r="B34" s="4"/>
      <c r="C34" s="4"/>
    </row>
    <row r="35" customFormat="false" ht="15" hidden="false" customHeight="true" outlineLevel="0" collapsed="false">
      <c r="A35" s="17" t="s">
        <v>156</v>
      </c>
      <c r="B35" s="17" t="s">
        <v>157</v>
      </c>
      <c r="C35" s="17" t="s">
        <v>158</v>
      </c>
    </row>
    <row r="36" customFormat="false" ht="15" hidden="false" customHeight="true" outlineLevel="0" collapsed="false">
      <c r="A36" s="1" t="s">
        <v>159</v>
      </c>
      <c r="B36" s="18" t="n">
        <f aca="false">Taxes!B43</f>
        <v>13257.1951743333</v>
      </c>
      <c r="C36" s="18" t="n">
        <f aca="false">B36*12</f>
        <v>159086.342092</v>
      </c>
    </row>
    <row r="37" customFormat="false" ht="15" hidden="false" customHeight="true" outlineLevel="0" collapsed="false">
      <c r="A37" s="1" t="s">
        <v>160</v>
      </c>
      <c r="B37" s="18" t="n">
        <f aca="false">'Personal Expenses'!O21</f>
        <v>9189.5</v>
      </c>
      <c r="C37" s="18" t="n">
        <f aca="false">B37*12</f>
        <v>110274</v>
      </c>
    </row>
    <row r="38" customFormat="false" ht="15" hidden="false" customHeight="true" outlineLevel="0" collapsed="false">
      <c r="A38" s="1" t="s">
        <v>161</v>
      </c>
      <c r="B38" s="18" t="n">
        <f aca="false">'Framework OPS P&amp;L'!O20</f>
        <v>526.166666666667</v>
      </c>
      <c r="C38" s="18" t="n">
        <f aca="false">B38*12</f>
        <v>6314</v>
      </c>
    </row>
    <row r="39" customFormat="false" ht="15" hidden="false" customHeight="true" outlineLevel="0" collapsed="false">
      <c r="A39" s="24" t="s">
        <v>162</v>
      </c>
      <c r="B39" s="19" t="n">
        <f aca="false">B36-B37-B38</f>
        <v>3541.52850766667</v>
      </c>
      <c r="C39" s="19" t="n">
        <f aca="false">B39*12</f>
        <v>42498.342092</v>
      </c>
    </row>
    <row r="41" customFormat="false" ht="15" hidden="false" customHeight="true" outlineLevel="0" collapsed="false">
      <c r="A41" s="24" t="s">
        <v>163</v>
      </c>
      <c r="B41" s="29" t="n">
        <f aca="false">'Cash Roll-Forward'!M12</f>
        <v>94998.342092</v>
      </c>
    </row>
    <row r="45" customFormat="false" ht="15" hidden="false" customHeight="true" outlineLevel="0" collapsed="false">
      <c r="A45" s="4" t="s">
        <v>164</v>
      </c>
      <c r="B45" s="4"/>
      <c r="C45" s="4"/>
      <c r="D45" s="4"/>
    </row>
    <row r="46" customFormat="false" ht="15" hidden="false" customHeight="true" outlineLevel="0" collapsed="false">
      <c r="A46" s="30" t="s">
        <v>156</v>
      </c>
      <c r="B46" s="30" t="s">
        <v>165</v>
      </c>
      <c r="C46" s="30" t="s">
        <v>166</v>
      </c>
      <c r="D46" s="30" t="s">
        <v>167</v>
      </c>
    </row>
    <row r="47" customFormat="false" ht="15" hidden="false" customHeight="true" outlineLevel="0" collapsed="false">
      <c r="A47" s="1" t="s">
        <v>116</v>
      </c>
      <c r="B47" s="22" t="n">
        <f aca="false">'3-Year Growth'!AQ6</f>
        <v>96000</v>
      </c>
      <c r="C47" s="22" t="n">
        <f aca="false">'3-Year Growth'!AR6</f>
        <v>0</v>
      </c>
      <c r="D47" s="22" t="n">
        <f aca="false">'3-Year Growth'!AS6</f>
        <v>0</v>
      </c>
    </row>
    <row r="48" customFormat="false" ht="15" hidden="false" customHeight="true" outlineLevel="0" collapsed="false">
      <c r="A48" s="1" t="s">
        <v>168</v>
      </c>
      <c r="B48" s="22" t="n">
        <f aca="false">'3-Year Growth'!AQ7</f>
        <v>98000</v>
      </c>
      <c r="C48" s="22" t="n">
        <f aca="false">'3-Year Growth'!AR7</f>
        <v>169000</v>
      </c>
      <c r="D48" s="22" t="n">
        <f aca="false">'3-Year Growth'!AS7</f>
        <v>195000</v>
      </c>
    </row>
    <row r="49" customFormat="false" ht="15" hidden="false" customHeight="true" outlineLevel="0" collapsed="false">
      <c r="A49" s="1" t="s">
        <v>169</v>
      </c>
      <c r="B49" s="22" t="n">
        <f aca="false">'3-Year Growth'!AQ8</f>
        <v>194000</v>
      </c>
      <c r="C49" s="22" t="n">
        <f aca="false">'3-Year Growth'!AR8</f>
        <v>169000</v>
      </c>
      <c r="D49" s="22" t="n">
        <f aca="false">'3-Year Growth'!AS8</f>
        <v>195000</v>
      </c>
    </row>
    <row r="50" customFormat="false" ht="15" hidden="false" customHeight="true" outlineLevel="0" collapsed="false">
      <c r="A50" s="24" t="s">
        <v>170</v>
      </c>
      <c r="B50" s="31" t="n">
        <f aca="false">'3-Year Growth'!AQ10</f>
        <v>187688</v>
      </c>
      <c r="C50" s="31" t="n">
        <f aca="false">'3-Year Growth'!AR10</f>
        <v>160000</v>
      </c>
      <c r="D50" s="31" t="n">
        <f aca="false">'3-Year Growth'!AS10</f>
        <v>181800</v>
      </c>
    </row>
    <row r="51" customFormat="false" ht="15" hidden="false" customHeight="true" outlineLevel="0" collapsed="false">
      <c r="A51" s="1" t="s">
        <v>171</v>
      </c>
      <c r="B51" s="32" t="n">
        <f aca="false">'3-Year Growth'!AQ12</f>
        <v>3</v>
      </c>
      <c r="C51" s="32" t="n">
        <f aca="false">'3-Year Growth'!AR12</f>
        <v>5</v>
      </c>
      <c r="D51" s="32" t="n">
        <f aca="false">'3-Year Growth'!AS12</f>
        <v>5</v>
      </c>
    </row>
  </sheetData>
  <mergeCells count="13">
    <mergeCell ref="A1:C1"/>
    <mergeCell ref="A8:C8"/>
    <mergeCell ref="A15:C15"/>
    <mergeCell ref="A16:C16"/>
    <mergeCell ref="A17:C17"/>
    <mergeCell ref="A18:C18"/>
    <mergeCell ref="A19:C19"/>
    <mergeCell ref="A20:C20"/>
    <mergeCell ref="A21:C21"/>
    <mergeCell ref="A22:C22"/>
    <mergeCell ref="A28:C28"/>
    <mergeCell ref="A34:C34"/>
    <mergeCell ref="A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2" t="s">
        <v>172</v>
      </c>
      <c r="B1" s="2"/>
      <c r="C1" s="2"/>
      <c r="D1" s="2"/>
      <c r="E1" s="2"/>
    </row>
    <row r="2" customFormat="false" ht="15" hidden="false" customHeight="true" outlineLevel="0" collapsed="false">
      <c r="A2" s="3" t="s">
        <v>173</v>
      </c>
      <c r="B2" s="3"/>
      <c r="C2" s="3"/>
      <c r="D2" s="3"/>
      <c r="E2" s="3"/>
    </row>
    <row r="4" customFormat="false" ht="15" hidden="false" customHeight="true" outlineLevel="0" collapsed="false">
      <c r="A4" s="4" t="s">
        <v>174</v>
      </c>
      <c r="B4" s="4"/>
      <c r="C4" s="4"/>
      <c r="D4" s="4"/>
      <c r="E4" s="4"/>
    </row>
    <row r="5" customFormat="false" ht="15" hidden="false" customHeight="true" outlineLevel="0" collapsed="false">
      <c r="A5" s="1" t="s">
        <v>175</v>
      </c>
      <c r="B5" s="15" t="n">
        <v>30000</v>
      </c>
      <c r="C5" s="6" t="s">
        <v>176</v>
      </c>
    </row>
    <row r="6" customFormat="false" ht="15" hidden="false" customHeight="true" outlineLevel="0" collapsed="false">
      <c r="A6" s="1" t="s">
        <v>177</v>
      </c>
      <c r="B6" s="13" t="n">
        <v>4</v>
      </c>
      <c r="C6" s="6" t="s">
        <v>178</v>
      </c>
    </row>
    <row r="7" customFormat="false" ht="15" hidden="false" customHeight="true" outlineLevel="0" collapsed="false">
      <c r="A7" s="1" t="s">
        <v>179</v>
      </c>
      <c r="B7" s="33" t="n">
        <v>0</v>
      </c>
      <c r="C7" s="6" t="s">
        <v>178</v>
      </c>
    </row>
    <row r="8" customFormat="false" ht="15" hidden="false" customHeight="true" outlineLevel="0" collapsed="false">
      <c r="A8" s="1" t="s">
        <v>180</v>
      </c>
      <c r="B8" s="34" t="n">
        <v>0</v>
      </c>
      <c r="C8" s="6" t="s">
        <v>181</v>
      </c>
    </row>
    <row r="9" customFormat="false" ht="15" hidden="false" customHeight="true" outlineLevel="0" collapsed="false">
      <c r="A9" s="1" t="s">
        <v>182</v>
      </c>
      <c r="B9" s="35" t="n">
        <v>0.9235</v>
      </c>
      <c r="C9" s="6" t="s">
        <v>183</v>
      </c>
    </row>
    <row r="10" customFormat="false" ht="15" hidden="false" customHeight="true" outlineLevel="0" collapsed="false">
      <c r="A10" s="1" t="s">
        <v>184</v>
      </c>
      <c r="B10" s="9" t="n">
        <v>0.153</v>
      </c>
      <c r="C10" s="6" t="s">
        <v>185</v>
      </c>
    </row>
    <row r="11" customFormat="false" ht="15" hidden="false" customHeight="true" outlineLevel="0" collapsed="false">
      <c r="A11" s="1" t="s">
        <v>186</v>
      </c>
      <c r="B11" s="9" t="n">
        <v>0.2</v>
      </c>
      <c r="C11" s="6" t="s">
        <v>187</v>
      </c>
    </row>
    <row r="13" customFormat="false" ht="15" hidden="false" customHeight="true" outlineLevel="0" collapsed="false">
      <c r="A13" s="4" t="s">
        <v>188</v>
      </c>
      <c r="B13" s="4"/>
      <c r="C13" s="4"/>
      <c r="D13" s="4"/>
      <c r="E13" s="4"/>
    </row>
    <row r="14" customFormat="false" ht="15" hidden="false" customHeight="true" outlineLevel="0" collapsed="false">
      <c r="A14" s="24" t="s">
        <v>189</v>
      </c>
      <c r="B14" s="24" t="s">
        <v>190</v>
      </c>
    </row>
    <row r="15" customFormat="false" ht="15" hidden="false" customHeight="true" outlineLevel="0" collapsed="false">
      <c r="A15" s="15" t="n">
        <v>23850</v>
      </c>
      <c r="B15" s="36" t="n">
        <v>0.1</v>
      </c>
    </row>
    <row r="16" customFormat="false" ht="15" hidden="false" customHeight="true" outlineLevel="0" collapsed="false">
      <c r="A16" s="15" t="n">
        <v>96950</v>
      </c>
      <c r="B16" s="36" t="n">
        <v>0.12</v>
      </c>
    </row>
    <row r="17" customFormat="false" ht="15" hidden="false" customHeight="true" outlineLevel="0" collapsed="false">
      <c r="A17" s="15" t="n">
        <v>206700</v>
      </c>
      <c r="B17" s="36" t="n">
        <v>0.22</v>
      </c>
    </row>
    <row r="18" customFormat="false" ht="15" hidden="false" customHeight="true" outlineLevel="0" collapsed="false">
      <c r="A18" s="15" t="n">
        <v>394600</v>
      </c>
      <c r="B18" s="36" t="n">
        <v>0.24</v>
      </c>
    </row>
    <row r="19" customFormat="false" ht="15" hidden="false" customHeight="true" outlineLevel="0" collapsed="false">
      <c r="A19" s="15" t="n">
        <v>501050</v>
      </c>
      <c r="B19" s="36" t="n">
        <v>0.32</v>
      </c>
    </row>
    <row r="20" customFormat="false" ht="15" hidden="false" customHeight="true" outlineLevel="0" collapsed="false">
      <c r="A20" s="15" t="n">
        <v>751600</v>
      </c>
      <c r="B20" s="36" t="n">
        <v>0.35</v>
      </c>
    </row>
    <row r="21" customFormat="false" ht="15" hidden="false" customHeight="true" outlineLevel="0" collapsed="false">
      <c r="A21" s="15" t="n">
        <v>10000000</v>
      </c>
      <c r="B21" s="36" t="n">
        <v>0.37</v>
      </c>
    </row>
    <row r="24" customFormat="false" ht="15" hidden="false" customHeight="true" outlineLevel="0" collapsed="false">
      <c r="A24" s="4" t="s">
        <v>191</v>
      </c>
      <c r="B24" s="4"/>
      <c r="C24" s="4"/>
      <c r="D24" s="4"/>
      <c r="E24" s="4"/>
    </row>
    <row r="25" customFormat="false" ht="15" hidden="false" customHeight="true" outlineLevel="0" collapsed="false">
      <c r="A25" s="17" t="s">
        <v>192</v>
      </c>
      <c r="B25" s="17" t="s">
        <v>135</v>
      </c>
      <c r="C25" s="17" t="s">
        <v>151</v>
      </c>
      <c r="D25" s="17" t="s">
        <v>137</v>
      </c>
    </row>
    <row r="26" customFormat="false" ht="15" hidden="false" customHeight="true" outlineLevel="0" collapsed="false">
      <c r="A26" s="1" t="s">
        <v>193</v>
      </c>
      <c r="B26" s="22" t="n">
        <f aca="false">Forecast!N5</f>
        <v>96000</v>
      </c>
      <c r="C26" s="22" t="n">
        <f aca="false">Forecast!N12</f>
        <v>96000</v>
      </c>
      <c r="D26" s="22" t="n">
        <f aca="false">Forecast!N19</f>
        <v>96000</v>
      </c>
    </row>
    <row r="27" customFormat="false" ht="15" hidden="false" customHeight="true" outlineLevel="0" collapsed="false">
      <c r="A27" s="1" t="s">
        <v>194</v>
      </c>
      <c r="B27" s="22" t="n">
        <f aca="false">(Forecast!N6+Forecast!N7+Forecast!N8)</f>
        <v>85500</v>
      </c>
      <c r="C27" s="22" t="n">
        <f aca="false">(Forecast!N13+Forecast!N14+Forecast!N15)</f>
        <v>52500</v>
      </c>
      <c r="D27" s="22" t="n">
        <f aca="false">(Forecast!N20+Forecast!N21+Forecast!N22)</f>
        <v>91500</v>
      </c>
    </row>
    <row r="28" customFormat="false" ht="15" hidden="false" customHeight="true" outlineLevel="0" collapsed="false">
      <c r="A28" s="1" t="s">
        <v>195</v>
      </c>
      <c r="B28" s="18" t="n">
        <f aca="false">B26+B27</f>
        <v>181500</v>
      </c>
      <c r="C28" s="18" t="n">
        <f aca="false">C26+C27</f>
        <v>148500</v>
      </c>
      <c r="D28" s="18" t="n">
        <f aca="false">D26+D27</f>
        <v>187500</v>
      </c>
    </row>
    <row r="29" customFormat="false" ht="15" hidden="false" customHeight="true" outlineLevel="0" collapsed="false">
      <c r="A29" s="1" t="s">
        <v>196</v>
      </c>
      <c r="B29" s="18" t="n">
        <f aca="false">B27*$B$9</f>
        <v>78959.25</v>
      </c>
      <c r="C29" s="18" t="n">
        <f aca="false">C27*$B$9</f>
        <v>48483.75</v>
      </c>
      <c r="D29" s="18" t="n">
        <f aca="false">D27*$B$9</f>
        <v>84500.25</v>
      </c>
    </row>
    <row r="30" customFormat="false" ht="15" hidden="false" customHeight="true" outlineLevel="0" collapsed="false">
      <c r="A30" s="1" t="s">
        <v>197</v>
      </c>
      <c r="B30" s="18" t="n">
        <f aca="false">B29*$B$10</f>
        <v>12080.76525</v>
      </c>
      <c r="C30" s="18" t="n">
        <f aca="false">C29*$B$10</f>
        <v>7418.01375</v>
      </c>
      <c r="D30" s="18" t="n">
        <f aca="false">D29*$B$10</f>
        <v>12928.53825</v>
      </c>
    </row>
    <row r="31" customFormat="false" ht="15" hidden="false" customHeight="true" outlineLevel="0" collapsed="false">
      <c r="A31" s="1" t="s">
        <v>198</v>
      </c>
      <c r="B31" s="18" t="n">
        <f aca="false">B30/2</f>
        <v>6040.382625</v>
      </c>
      <c r="C31" s="18" t="n">
        <f aca="false">C30/2</f>
        <v>3709.006875</v>
      </c>
      <c r="D31" s="18" t="n">
        <f aca="false">D30/2</f>
        <v>6464.269125</v>
      </c>
    </row>
    <row r="32" customFormat="false" ht="15" hidden="false" customHeight="true" outlineLevel="0" collapsed="false">
      <c r="A32" s="1" t="s">
        <v>199</v>
      </c>
      <c r="B32" s="18" t="n">
        <f aca="false">B26+B27-B31</f>
        <v>175459.617375</v>
      </c>
      <c r="C32" s="18" t="n">
        <f aca="false">C26+C27-C31</f>
        <v>144790.993125</v>
      </c>
      <c r="D32" s="18" t="n">
        <f aca="false">D26+D27-D31</f>
        <v>181035.730875</v>
      </c>
    </row>
    <row r="33" customFormat="false" ht="15" hidden="false" customHeight="true" outlineLevel="0" collapsed="false">
      <c r="A33" s="1" t="s">
        <v>200</v>
      </c>
      <c r="B33" s="18" t="n">
        <f aca="false">B27-B31</f>
        <v>79459.617375</v>
      </c>
      <c r="C33" s="18" t="n">
        <f aca="false">C27-C31</f>
        <v>48790.993125</v>
      </c>
      <c r="D33" s="18" t="n">
        <f aca="false">D27-D31</f>
        <v>85035.730875</v>
      </c>
    </row>
    <row r="34" customFormat="false" ht="15" hidden="false" customHeight="true" outlineLevel="0" collapsed="false">
      <c r="A34" s="1" t="s">
        <v>201</v>
      </c>
      <c r="B34" s="18" t="n">
        <f aca="false">MIN(B33*$B$11,MAX(0,(B32-$B$5))*$B$11)</f>
        <v>15891.923475</v>
      </c>
      <c r="C34" s="18" t="n">
        <f aca="false">MIN(C33*$B$11,MAX(0,(C32-$B$5))*$B$11)</f>
        <v>9758.198625</v>
      </c>
      <c r="D34" s="18" t="n">
        <f aca="false">MIN(D33*$B$11,MAX(0,(D32-$B$5))*$B$11)</f>
        <v>17007.146175</v>
      </c>
    </row>
    <row r="35" customFormat="false" ht="15" hidden="false" customHeight="true" outlineLevel="0" collapsed="false">
      <c r="A35" s="1" t="s">
        <v>202</v>
      </c>
      <c r="B35" s="18" t="n">
        <f aca="false">$B$5</f>
        <v>30000</v>
      </c>
      <c r="C35" s="18" t="n">
        <f aca="false">$B$5</f>
        <v>30000</v>
      </c>
      <c r="D35" s="18" t="n">
        <f aca="false">$B$5</f>
        <v>30000</v>
      </c>
    </row>
    <row r="36" customFormat="false" ht="15" hidden="false" customHeight="true" outlineLevel="0" collapsed="false">
      <c r="A36" s="1" t="s">
        <v>203</v>
      </c>
      <c r="B36" s="18" t="n">
        <f aca="false">MAX(0,B32-B34-B35)</f>
        <v>129567.6939</v>
      </c>
      <c r="C36" s="18" t="n">
        <f aca="false">MAX(0,C32-C34-C35)</f>
        <v>105032.7945</v>
      </c>
      <c r="D36" s="18" t="n">
        <f aca="false">MAX(0,D32-D34-D35)</f>
        <v>134028.5847</v>
      </c>
    </row>
    <row r="37" customFormat="false" ht="15" hidden="false" customHeight="true" outlineLevel="0" collapsed="false">
      <c r="A37" s="1" t="s">
        <v>204</v>
      </c>
      <c r="B37" s="18" t="n">
        <f aca="false">MIN(B36,$A$15)*$B$15+MAX(0,MIN(B36,$A$16)-$A$15)*$B$16+MAX(0,MIN(B36,$A$17)-$A$16)*$B$17+MAX(0,MIN(B36,$A$18)-$A$17)*$B$18+MAX(0,MIN(B36,$A$19)-$A$18)*$B$19+MAX(0,MIN(B36,$A$20)-$A$19)*$B$20+MAX(0,MIN(B36,$A$21)-$A$20)*$B$21</f>
        <v>18332.892658</v>
      </c>
      <c r="C37" s="18" t="n">
        <f aca="false">MIN(C36,$A$15)*$B$15+MAX(0,MIN(C36,$A$16)-$A$15)*$B$16+MAX(0,MIN(C36,$A$17)-$A$16)*$B$17+MAX(0,MIN(C36,$A$18)-$A$17)*$B$18+MAX(0,MIN(C36,$A$19)-$A$18)*$B$19+MAX(0,MIN(C36,$A$20)-$A$19)*$B$20+MAX(0,MIN(C36,$A$21)-$A$20)*$B$21</f>
        <v>12935.21479</v>
      </c>
      <c r="D37" s="18" t="n">
        <f aca="false">MIN(D36,$A$15)*$B$15+MAX(0,MIN(D36,$A$16)-$A$15)*$B$16+MAX(0,MIN(D36,$A$17)-$A$16)*$B$17+MAX(0,MIN(D36,$A$18)-$A$17)*$B$18+MAX(0,MIN(D36,$A$19)-$A$18)*$B$19+MAX(0,MIN(D36,$A$20)-$A$19)*$B$20+MAX(0,MIN(D36,$A$21)-$A$20)*$B$21</f>
        <v>19314.288634</v>
      </c>
    </row>
    <row r="38" customFormat="false" ht="15" hidden="false" customHeight="true" outlineLevel="0" collapsed="false">
      <c r="A38" s="1" t="s">
        <v>205</v>
      </c>
      <c r="B38" s="18" t="n">
        <f aca="false">$B$6*2000+$B$7*500</f>
        <v>8000</v>
      </c>
      <c r="C38" s="18" t="n">
        <f aca="false">$B$6*2000+$B$7*500</f>
        <v>8000</v>
      </c>
      <c r="D38" s="18" t="n">
        <f aca="false">$B$6*2000+$B$7*500</f>
        <v>8000</v>
      </c>
    </row>
    <row r="39" customFormat="false" ht="15" hidden="false" customHeight="true" outlineLevel="0" collapsed="false">
      <c r="A39" s="1" t="s">
        <v>206</v>
      </c>
      <c r="B39" s="18" t="n">
        <f aca="false">MAX(0,B37-B38)</f>
        <v>10332.892658</v>
      </c>
      <c r="C39" s="18" t="n">
        <f aca="false">MAX(0,C37-C38)</f>
        <v>4935.21479</v>
      </c>
      <c r="D39" s="18" t="n">
        <f aca="false">MAX(0,D37-D38)</f>
        <v>11314.288634</v>
      </c>
    </row>
    <row r="40" customFormat="false" ht="15" hidden="false" customHeight="true" outlineLevel="0" collapsed="false">
      <c r="A40" s="1" t="s">
        <v>207</v>
      </c>
      <c r="B40" s="18" t="n">
        <f aca="false">B36*$B$8</f>
        <v>0</v>
      </c>
      <c r="C40" s="18" t="n">
        <f aca="false">C36*$B$8</f>
        <v>0</v>
      </c>
      <c r="D40" s="18" t="n">
        <f aca="false">D36*$B$8</f>
        <v>0</v>
      </c>
    </row>
    <row r="41" customFormat="false" ht="15" hidden="false" customHeight="true" outlineLevel="0" collapsed="false">
      <c r="A41" s="24" t="s">
        <v>208</v>
      </c>
      <c r="B41" s="25" t="n">
        <f aca="false">B30+B39+B40</f>
        <v>22413.657908</v>
      </c>
      <c r="C41" s="25" t="n">
        <f aca="false">C30+C39+C40</f>
        <v>12353.22854</v>
      </c>
      <c r="D41" s="25" t="n">
        <f aca="false">D30+D39+D40</f>
        <v>24242.826884</v>
      </c>
    </row>
    <row r="42" customFormat="false" ht="15" hidden="false" customHeight="true" outlineLevel="0" collapsed="false">
      <c r="A42" s="24" t="s">
        <v>209</v>
      </c>
      <c r="B42" s="19" t="n">
        <f aca="false">B28-B41</f>
        <v>159086.342092</v>
      </c>
      <c r="C42" s="19" t="n">
        <f aca="false">C28-C41</f>
        <v>136146.77146</v>
      </c>
      <c r="D42" s="19" t="n">
        <f aca="false">D28-D41</f>
        <v>163257.173116</v>
      </c>
    </row>
    <row r="43" customFormat="false" ht="15" hidden="false" customHeight="true" outlineLevel="0" collapsed="false">
      <c r="A43" s="24" t="s">
        <v>210</v>
      </c>
      <c r="B43" s="19" t="n">
        <f aca="false">B42/12</f>
        <v>13257.1951743333</v>
      </c>
      <c r="C43" s="19" t="n">
        <f aca="false">C42/12</f>
        <v>11345.5642883333</v>
      </c>
      <c r="D43" s="19" t="n">
        <f aca="false">D42/12</f>
        <v>13604.7644263333</v>
      </c>
    </row>
    <row r="44" customFormat="false" ht="15" hidden="false" customHeight="true" outlineLevel="0" collapsed="false">
      <c r="A44" s="1" t="s">
        <v>211</v>
      </c>
      <c r="B44" s="23" t="n">
        <f aca="false">B41/B28</f>
        <v>0.123491228143251</v>
      </c>
      <c r="C44" s="23" t="n">
        <f aca="false">C41/C28</f>
        <v>0.0831867241750842</v>
      </c>
      <c r="D44" s="23" t="n">
        <f aca="false">D41/D28</f>
        <v>0.129295076714667</v>
      </c>
    </row>
    <row r="46" customFormat="false" ht="15" hidden="false" customHeight="true" outlineLevel="0" collapsed="false">
      <c r="A46" s="4" t="s">
        <v>212</v>
      </c>
      <c r="B46" s="4"/>
      <c r="C46" s="4"/>
      <c r="D46" s="4"/>
    </row>
    <row r="47" customFormat="false" ht="23.25" hidden="false" customHeight="true" outlineLevel="0" collapsed="false">
      <c r="A47" s="27" t="s">
        <v>213</v>
      </c>
      <c r="B47" s="27"/>
      <c r="C47" s="27"/>
      <c r="D47" s="27"/>
    </row>
    <row r="48" customFormat="false" ht="23.25" hidden="false" customHeight="true" outlineLevel="0" collapsed="false">
      <c r="A48" s="27" t="s">
        <v>214</v>
      </c>
      <c r="B48" s="27"/>
      <c r="C48" s="27"/>
      <c r="D48" s="27"/>
    </row>
    <row r="49" customFormat="false" ht="23.25" hidden="false" customHeight="true" outlineLevel="0" collapsed="false">
      <c r="A49" s="27" t="s">
        <v>215</v>
      </c>
      <c r="B49" s="27"/>
      <c r="C49" s="27"/>
      <c r="D49" s="27"/>
    </row>
    <row r="50" customFormat="false" ht="15" hidden="false" customHeight="true" outlineLevel="0" collapsed="false">
      <c r="A50" s="27" t="s">
        <v>216</v>
      </c>
      <c r="B50" s="27"/>
      <c r="C50" s="27"/>
      <c r="D50" s="27"/>
    </row>
    <row r="51" customFormat="false" ht="23.25" hidden="false" customHeight="true" outlineLevel="0" collapsed="false">
      <c r="A51" s="27" t="s">
        <v>217</v>
      </c>
      <c r="B51" s="27"/>
      <c r="C51" s="27"/>
      <c r="D51" s="27"/>
    </row>
    <row r="52" customFormat="false" ht="23.25" hidden="false" customHeight="true" outlineLevel="0" collapsed="false">
      <c r="A52" s="27" t="s">
        <v>218</v>
      </c>
      <c r="B52" s="27"/>
      <c r="C52" s="27"/>
      <c r="D52" s="27"/>
    </row>
    <row r="53" customFormat="false" ht="23.25" hidden="false" customHeight="true" outlineLevel="0" collapsed="false">
      <c r="A53" s="27" t="s">
        <v>219</v>
      </c>
      <c r="B53" s="27"/>
      <c r="C53" s="27"/>
      <c r="D53" s="27"/>
    </row>
  </sheetData>
  <mergeCells count="13">
    <mergeCell ref="A1:E1"/>
    <mergeCell ref="A2:E2"/>
    <mergeCell ref="A4:E4"/>
    <mergeCell ref="A13:E13"/>
    <mergeCell ref="A24:E24"/>
    <mergeCell ref="A46:D46"/>
    <mergeCell ref="A47:D47"/>
    <mergeCell ref="A48:D48"/>
    <mergeCell ref="A49:D49"/>
    <mergeCell ref="A50:D50"/>
    <mergeCell ref="A51:D51"/>
    <mergeCell ref="A52:D52"/>
    <mergeCell ref="A53:D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15" min="2" style="1" width="11"/>
  </cols>
  <sheetData>
    <row r="1" customFormat="false" ht="17.2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" hidden="false" customHeight="true" outlineLevel="0" collapsed="false">
      <c r="A4" s="17" t="s">
        <v>192</v>
      </c>
      <c r="B4" s="17" t="s">
        <v>101</v>
      </c>
      <c r="C4" s="17" t="s">
        <v>102</v>
      </c>
      <c r="D4" s="17" t="s">
        <v>103</v>
      </c>
      <c r="E4" s="17" t="s">
        <v>104</v>
      </c>
      <c r="F4" s="17" t="s">
        <v>105</v>
      </c>
      <c r="G4" s="17" t="s">
        <v>106</v>
      </c>
      <c r="H4" s="17" t="s">
        <v>107</v>
      </c>
      <c r="I4" s="17" t="s">
        <v>108</v>
      </c>
      <c r="J4" s="17" t="s">
        <v>109</v>
      </c>
      <c r="K4" s="17" t="s">
        <v>110</v>
      </c>
      <c r="L4" s="17" t="s">
        <v>111</v>
      </c>
      <c r="M4" s="17" t="s">
        <v>112</v>
      </c>
      <c r="N4" s="17" t="s">
        <v>113</v>
      </c>
      <c r="O4" s="17" t="s">
        <v>114</v>
      </c>
    </row>
    <row r="5" customFormat="false" ht="15" hidden="false" customHeight="true" outlineLevel="0" collapsed="false">
      <c r="A5" s="1" t="s">
        <v>222</v>
      </c>
      <c r="B5" s="18" t="n">
        <f aca="false">IF(1&lt;Assumptions!$B$25,Assumptions!$B$26,0)</f>
        <v>3600</v>
      </c>
      <c r="C5" s="18" t="n">
        <f aca="false">IF(2&lt;Assumptions!$B$25,Assumptions!$B$26,0)</f>
        <v>0</v>
      </c>
      <c r="D5" s="18" t="n">
        <f aca="false">IF(3&lt;Assumptions!$B$25,Assumptions!$B$26,0)</f>
        <v>0</v>
      </c>
      <c r="E5" s="18" t="n">
        <f aca="false">IF(4&lt;Assumptions!$B$25,Assumptions!$B$26,0)</f>
        <v>0</v>
      </c>
      <c r="F5" s="18" t="n">
        <f aca="false">IF(5&lt;Assumptions!$B$25,Assumptions!$B$26,0)</f>
        <v>0</v>
      </c>
      <c r="G5" s="18" t="n">
        <f aca="false">IF(6&lt;Assumptions!$B$25,Assumptions!$B$26,0)</f>
        <v>0</v>
      </c>
      <c r="H5" s="18" t="n">
        <f aca="false">IF(7&lt;Assumptions!$B$25,Assumptions!$B$26,0)</f>
        <v>0</v>
      </c>
      <c r="I5" s="18" t="n">
        <f aca="false">IF(8&lt;Assumptions!$B$25,Assumptions!$B$26,0)</f>
        <v>0</v>
      </c>
      <c r="J5" s="18" t="n">
        <f aca="false">IF(9&lt;Assumptions!$B$25,Assumptions!$B$26,0)</f>
        <v>0</v>
      </c>
      <c r="K5" s="18" t="n">
        <f aca="false">IF(10&lt;Assumptions!$B$25,Assumptions!$B$26,0)</f>
        <v>0</v>
      </c>
      <c r="L5" s="18" t="n">
        <f aca="false">IF(11&lt;Assumptions!$B$25,Assumptions!$B$26,0)</f>
        <v>0</v>
      </c>
      <c r="M5" s="18" t="n">
        <f aca="false">IF(12&lt;Assumptions!$B$25,Assumptions!$B$26,0)</f>
        <v>0</v>
      </c>
      <c r="N5" s="18" t="n">
        <f aca="false">SUM(B5:M5)</f>
        <v>3600</v>
      </c>
      <c r="O5" s="18" t="n">
        <f aca="false">AVERAGE(B5:M5)</f>
        <v>300</v>
      </c>
    </row>
    <row r="6" customFormat="false" ht="15" hidden="false" customHeight="true" outlineLevel="0" collapsed="false">
      <c r="A6" s="1" t="s">
        <v>223</v>
      </c>
      <c r="B6" s="18" t="n">
        <f aca="false">IF(1&gt;=Assumptions!$B$25,Assumptions!$B$28,0)</f>
        <v>0</v>
      </c>
      <c r="C6" s="18" t="n">
        <f aca="false">IF(2&gt;=Assumptions!$B$25,Assumptions!$B$28,0)</f>
        <v>3200</v>
      </c>
      <c r="D6" s="18" t="n">
        <f aca="false">IF(3&gt;=Assumptions!$B$25,Assumptions!$B$28,0)</f>
        <v>3200</v>
      </c>
      <c r="E6" s="18" t="n">
        <f aca="false">IF(4&gt;=Assumptions!$B$25,Assumptions!$B$28,0)</f>
        <v>3200</v>
      </c>
      <c r="F6" s="18" t="n">
        <f aca="false">IF(5&gt;=Assumptions!$B$25,Assumptions!$B$28,0)</f>
        <v>3200</v>
      </c>
      <c r="G6" s="18" t="n">
        <f aca="false">IF(6&gt;=Assumptions!$B$25,Assumptions!$B$28,0)</f>
        <v>3200</v>
      </c>
      <c r="H6" s="18" t="n">
        <f aca="false">IF(7&gt;=Assumptions!$B$25,Assumptions!$B$28,0)</f>
        <v>3200</v>
      </c>
      <c r="I6" s="18" t="n">
        <f aca="false">IF(8&gt;=Assumptions!$B$25,Assumptions!$B$28,0)</f>
        <v>3200</v>
      </c>
      <c r="J6" s="18" t="n">
        <f aca="false">IF(9&gt;=Assumptions!$B$25,Assumptions!$B$28,0)</f>
        <v>3200</v>
      </c>
      <c r="K6" s="18" t="n">
        <f aca="false">IF(10&gt;=Assumptions!$B$25,Assumptions!$B$28,0)</f>
        <v>3200</v>
      </c>
      <c r="L6" s="18" t="n">
        <f aca="false">IF(11&gt;=Assumptions!$B$25,Assumptions!$B$28,0)</f>
        <v>3200</v>
      </c>
      <c r="M6" s="18" t="n">
        <f aca="false">IF(12&gt;=Assumptions!$B$25,Assumptions!$B$28,0)</f>
        <v>3200</v>
      </c>
      <c r="N6" s="18" t="n">
        <f aca="false">SUM(B6:M6)</f>
        <v>35200</v>
      </c>
      <c r="O6" s="18" t="n">
        <f aca="false">AVERAGE(B6:M6)</f>
        <v>2933.33333333333</v>
      </c>
    </row>
    <row r="7" customFormat="false" ht="15" hidden="false" customHeight="true" outlineLevel="0" collapsed="false">
      <c r="A7" s="1" t="s">
        <v>224</v>
      </c>
      <c r="B7" s="18" t="n">
        <f aca="false">IF(1=Assumptions!$B$25,Assumptions!$B$29+Assumptions!$B$30,0)</f>
        <v>0</v>
      </c>
      <c r="C7" s="18" t="n">
        <f aca="false">IF(2=Assumptions!$B$25,Assumptions!$B$29+Assumptions!$B$30,0)</f>
        <v>11400</v>
      </c>
      <c r="D7" s="18" t="n">
        <f aca="false">IF(3=Assumptions!$B$25,Assumptions!$B$29+Assumptions!$B$30,0)</f>
        <v>0</v>
      </c>
      <c r="E7" s="18" t="n">
        <f aca="false">IF(4=Assumptions!$B$25,Assumptions!$B$29+Assumptions!$B$30,0)</f>
        <v>0</v>
      </c>
      <c r="F7" s="18" t="n">
        <f aca="false">IF(5=Assumptions!$B$25,Assumptions!$B$29+Assumptions!$B$30,0)</f>
        <v>0</v>
      </c>
      <c r="G7" s="18" t="n">
        <f aca="false">IF(6=Assumptions!$B$25,Assumptions!$B$29+Assumptions!$B$30,0)</f>
        <v>0</v>
      </c>
      <c r="H7" s="18" t="n">
        <f aca="false">IF(7=Assumptions!$B$25,Assumptions!$B$29+Assumptions!$B$30,0)</f>
        <v>0</v>
      </c>
      <c r="I7" s="18" t="n">
        <f aca="false">IF(8=Assumptions!$B$25,Assumptions!$B$29+Assumptions!$B$30,0)</f>
        <v>0</v>
      </c>
      <c r="J7" s="18" t="n">
        <f aca="false">IF(9=Assumptions!$B$25,Assumptions!$B$29+Assumptions!$B$30,0)</f>
        <v>0</v>
      </c>
      <c r="K7" s="18" t="n">
        <f aca="false">IF(10=Assumptions!$B$25,Assumptions!$B$29+Assumptions!$B$30,0)</f>
        <v>0</v>
      </c>
      <c r="L7" s="18" t="n">
        <f aca="false">IF(11=Assumptions!$B$25,Assumptions!$B$29+Assumptions!$B$30,0)</f>
        <v>0</v>
      </c>
      <c r="M7" s="18" t="n">
        <f aca="false">IF(12=Assumptions!$B$25,Assumptions!$B$29+Assumptions!$B$30,0)</f>
        <v>0</v>
      </c>
      <c r="N7" s="18" t="n">
        <f aca="false">SUM(B7:M7)</f>
        <v>11400</v>
      </c>
      <c r="O7" s="18" t="n">
        <f aca="false">AVERAGE(B7:M7)</f>
        <v>950</v>
      </c>
    </row>
    <row r="8" customFormat="false" ht="15" hidden="false" customHeight="true" outlineLevel="0" collapsed="false">
      <c r="A8" s="1" t="s">
        <v>225</v>
      </c>
      <c r="B8" s="18" t="n">
        <f aca="false">Assumptions!$B$39+Assumptions!$B$40*0.7</f>
        <v>633</v>
      </c>
      <c r="C8" s="18" t="n">
        <f aca="false">Assumptions!$B$39+Assumptions!$B$40*0.7</f>
        <v>633</v>
      </c>
      <c r="D8" s="18" t="n">
        <f aca="false">Assumptions!$B$39+Assumptions!$B$40*0.7</f>
        <v>633</v>
      </c>
      <c r="E8" s="18" t="n">
        <f aca="false">Assumptions!$B$39+Assumptions!$B$40*0.7</f>
        <v>633</v>
      </c>
      <c r="F8" s="18" t="n">
        <f aca="false">Assumptions!$B$39+Assumptions!$B$40*0.7</f>
        <v>633</v>
      </c>
      <c r="G8" s="18" t="n">
        <f aca="false">Assumptions!$B$39+Assumptions!$B$40*0.7</f>
        <v>633</v>
      </c>
      <c r="H8" s="18" t="n">
        <f aca="false">Assumptions!$B$39+Assumptions!$B$40*0.7</f>
        <v>633</v>
      </c>
      <c r="I8" s="18" t="n">
        <f aca="false">Assumptions!$B$39+Assumptions!$B$40*0.7</f>
        <v>633</v>
      </c>
      <c r="J8" s="18" t="n">
        <f aca="false">Assumptions!$B$39+Assumptions!$B$40*0.7</f>
        <v>633</v>
      </c>
      <c r="K8" s="18" t="n">
        <f aca="false">Assumptions!$B$39+Assumptions!$B$40*0.7</f>
        <v>633</v>
      </c>
      <c r="L8" s="18" t="n">
        <f aca="false">Assumptions!$B$39+Assumptions!$B$40*0.7</f>
        <v>633</v>
      </c>
      <c r="M8" s="18" t="n">
        <f aca="false">Assumptions!$B$39+Assumptions!$B$40*0.7</f>
        <v>633</v>
      </c>
      <c r="N8" s="18" t="n">
        <f aca="false">SUM(B8:M8)</f>
        <v>7596</v>
      </c>
      <c r="O8" s="18" t="n">
        <f aca="false">AVERAGE(B8:M8)</f>
        <v>633</v>
      </c>
    </row>
    <row r="9" customFormat="false" ht="15" hidden="false" customHeight="true" outlineLevel="0" collapsed="false">
      <c r="A9" s="1" t="s">
        <v>226</v>
      </c>
      <c r="B9" s="18" t="n">
        <f aca="false">Assumptions!$B$31</f>
        <v>400</v>
      </c>
      <c r="C9" s="18" t="n">
        <f aca="false">Assumptions!$B$31</f>
        <v>400</v>
      </c>
      <c r="D9" s="18" t="n">
        <f aca="false">Assumptions!$B$31</f>
        <v>400</v>
      </c>
      <c r="E9" s="18" t="n">
        <f aca="false">Assumptions!$B$31</f>
        <v>400</v>
      </c>
      <c r="F9" s="18" t="n">
        <f aca="false">Assumptions!$B$31</f>
        <v>400</v>
      </c>
      <c r="G9" s="18" t="n">
        <f aca="false">Assumptions!$B$31</f>
        <v>400</v>
      </c>
      <c r="H9" s="18" t="n">
        <f aca="false">Assumptions!$B$31</f>
        <v>400</v>
      </c>
      <c r="I9" s="18" t="n">
        <f aca="false">Assumptions!$B$31</f>
        <v>400</v>
      </c>
      <c r="J9" s="18" t="n">
        <f aca="false">Assumptions!$B$31</f>
        <v>400</v>
      </c>
      <c r="K9" s="18" t="n">
        <f aca="false">Assumptions!$B$31</f>
        <v>400</v>
      </c>
      <c r="L9" s="18" t="n">
        <f aca="false">Assumptions!$B$31</f>
        <v>400</v>
      </c>
      <c r="M9" s="18" t="n">
        <f aca="false">Assumptions!$B$31</f>
        <v>400</v>
      </c>
      <c r="N9" s="18" t="n">
        <f aca="false">SUM(B9:M9)</f>
        <v>4800</v>
      </c>
      <c r="O9" s="18" t="n">
        <f aca="false">AVERAGE(B9:M9)</f>
        <v>400</v>
      </c>
    </row>
    <row r="10" customFormat="false" ht="15" hidden="false" customHeight="true" outlineLevel="0" collapsed="false">
      <c r="A10" s="1" t="s">
        <v>227</v>
      </c>
      <c r="B10" s="18" t="n">
        <f aca="false">Assumptions!$B$32</f>
        <v>198</v>
      </c>
      <c r="C10" s="18" t="n">
        <f aca="false">Assumptions!$B$32</f>
        <v>198</v>
      </c>
      <c r="D10" s="18" t="n">
        <f aca="false">Assumptions!$B$32</f>
        <v>198</v>
      </c>
      <c r="E10" s="18" t="n">
        <f aca="false">Assumptions!$B$32</f>
        <v>198</v>
      </c>
      <c r="F10" s="18" t="n">
        <f aca="false">Assumptions!$B$32</f>
        <v>198</v>
      </c>
      <c r="G10" s="18" t="n">
        <f aca="false">Assumptions!$B$32</f>
        <v>198</v>
      </c>
      <c r="H10" s="18" t="n">
        <f aca="false">Assumptions!$B$32</f>
        <v>198</v>
      </c>
      <c r="I10" s="18" t="n">
        <f aca="false">Assumptions!$B$32</f>
        <v>198</v>
      </c>
      <c r="J10" s="18" t="n">
        <f aca="false">Assumptions!$B$32</f>
        <v>198</v>
      </c>
      <c r="K10" s="18" t="n">
        <f aca="false">Assumptions!$B$32</f>
        <v>198</v>
      </c>
      <c r="L10" s="18" t="n">
        <f aca="false">Assumptions!$B$32</f>
        <v>198</v>
      </c>
      <c r="M10" s="18" t="n">
        <f aca="false">Assumptions!$B$32</f>
        <v>198</v>
      </c>
      <c r="N10" s="18" t="n">
        <f aca="false">SUM(B10:M10)</f>
        <v>2376</v>
      </c>
      <c r="O10" s="18" t="n">
        <f aca="false">AVERAGE(B10:M10)</f>
        <v>198</v>
      </c>
    </row>
    <row r="11" customFormat="false" ht="15" hidden="false" customHeight="true" outlineLevel="0" collapsed="false">
      <c r="A11" s="1" t="s">
        <v>228</v>
      </c>
      <c r="B11" s="18" t="n">
        <f aca="false">IF(OR(Assumptions!$B$37=0,1&lt;=Assumptions!$B$37),Assumptions!$B$33,0)</f>
        <v>334</v>
      </c>
      <c r="C11" s="18" t="n">
        <f aca="false">IF(OR(Assumptions!$B$37=0,2&lt;=Assumptions!$B$37),Assumptions!$B$33,0)</f>
        <v>334</v>
      </c>
      <c r="D11" s="18" t="n">
        <f aca="false">IF(OR(Assumptions!$B$37=0,3&lt;=Assumptions!$B$37),Assumptions!$B$33,0)</f>
        <v>0</v>
      </c>
      <c r="E11" s="18" t="n">
        <f aca="false">IF(OR(Assumptions!$B$37=0,4&lt;=Assumptions!$B$37),Assumptions!$B$33,0)</f>
        <v>0</v>
      </c>
      <c r="F11" s="18" t="n">
        <f aca="false">IF(OR(Assumptions!$B$37=0,5&lt;=Assumptions!$B$37),Assumptions!$B$33,0)</f>
        <v>0</v>
      </c>
      <c r="G11" s="18" t="n">
        <f aca="false">IF(OR(Assumptions!$B$37=0,6&lt;=Assumptions!$B$37),Assumptions!$B$33,0)</f>
        <v>0</v>
      </c>
      <c r="H11" s="18" t="n">
        <f aca="false">IF(OR(Assumptions!$B$37=0,7&lt;=Assumptions!$B$37),Assumptions!$B$33,0)</f>
        <v>0</v>
      </c>
      <c r="I11" s="18" t="n">
        <f aca="false">IF(OR(Assumptions!$B$37=0,8&lt;=Assumptions!$B$37),Assumptions!$B$33,0)</f>
        <v>0</v>
      </c>
      <c r="J11" s="18" t="n">
        <f aca="false">IF(OR(Assumptions!$B$37=0,9&lt;=Assumptions!$B$37),Assumptions!$B$33,0)</f>
        <v>0</v>
      </c>
      <c r="K11" s="18" t="n">
        <f aca="false">IF(OR(Assumptions!$B$37=0,10&lt;=Assumptions!$B$37),Assumptions!$B$33,0)</f>
        <v>0</v>
      </c>
      <c r="L11" s="18" t="n">
        <f aca="false">IF(OR(Assumptions!$B$37=0,11&lt;=Assumptions!$B$37),Assumptions!$B$33,0)</f>
        <v>0</v>
      </c>
      <c r="M11" s="18" t="n">
        <f aca="false">IF(OR(Assumptions!$B$37=0,12&lt;=Assumptions!$B$37),Assumptions!$B$33,0)</f>
        <v>0</v>
      </c>
      <c r="N11" s="18" t="n">
        <f aca="false">SUM(B11:M11)</f>
        <v>668</v>
      </c>
      <c r="O11" s="18" t="n">
        <f aca="false">AVERAGE(B11:M11)</f>
        <v>55.6666666666667</v>
      </c>
    </row>
    <row r="12" customFormat="false" ht="15" hidden="false" customHeight="true" outlineLevel="0" collapsed="false">
      <c r="A12" s="1" t="s">
        <v>229</v>
      </c>
      <c r="B12" s="18" t="n">
        <f aca="false">IF(OR(Assumptions!$B$38=0,1&lt;=Assumptions!$B$38),Assumptions!$B$34,0)</f>
        <v>499</v>
      </c>
      <c r="C12" s="18" t="n">
        <f aca="false">IF(OR(Assumptions!$B$38=0,2&lt;=Assumptions!$B$38),Assumptions!$B$34,0)</f>
        <v>499</v>
      </c>
      <c r="D12" s="18" t="n">
        <f aca="false">IF(OR(Assumptions!$B$38=0,3&lt;=Assumptions!$B$38),Assumptions!$B$34,0)</f>
        <v>0</v>
      </c>
      <c r="E12" s="18" t="n">
        <f aca="false">IF(OR(Assumptions!$B$38=0,4&lt;=Assumptions!$B$38),Assumptions!$B$34,0)</f>
        <v>0</v>
      </c>
      <c r="F12" s="18" t="n">
        <f aca="false">IF(OR(Assumptions!$B$38=0,5&lt;=Assumptions!$B$38),Assumptions!$B$34,0)</f>
        <v>0</v>
      </c>
      <c r="G12" s="18" t="n">
        <f aca="false">IF(OR(Assumptions!$B$38=0,6&lt;=Assumptions!$B$38),Assumptions!$B$34,0)</f>
        <v>0</v>
      </c>
      <c r="H12" s="18" t="n">
        <f aca="false">IF(OR(Assumptions!$B$38=0,7&lt;=Assumptions!$B$38),Assumptions!$B$34,0)</f>
        <v>0</v>
      </c>
      <c r="I12" s="18" t="n">
        <f aca="false">IF(OR(Assumptions!$B$38=0,8&lt;=Assumptions!$B$38),Assumptions!$B$34,0)</f>
        <v>0</v>
      </c>
      <c r="J12" s="18" t="n">
        <f aca="false">IF(OR(Assumptions!$B$38=0,9&lt;=Assumptions!$B$38),Assumptions!$B$34,0)</f>
        <v>0</v>
      </c>
      <c r="K12" s="18" t="n">
        <f aca="false">IF(OR(Assumptions!$B$38=0,10&lt;=Assumptions!$B$38),Assumptions!$B$34,0)</f>
        <v>0</v>
      </c>
      <c r="L12" s="18" t="n">
        <f aca="false">IF(OR(Assumptions!$B$38=0,11&lt;=Assumptions!$B$38),Assumptions!$B$34,0)</f>
        <v>0</v>
      </c>
      <c r="M12" s="18" t="n">
        <f aca="false">IF(OR(Assumptions!$B$38=0,12&lt;=Assumptions!$B$38),Assumptions!$B$34,0)</f>
        <v>0</v>
      </c>
      <c r="N12" s="18" t="n">
        <f aca="false">SUM(B12:M12)</f>
        <v>998</v>
      </c>
      <c r="O12" s="18" t="n">
        <f aca="false">AVERAGE(B12:M12)</f>
        <v>83.1666666666667</v>
      </c>
    </row>
    <row r="13" customFormat="false" ht="15" hidden="false" customHeight="true" outlineLevel="0" collapsed="false">
      <c r="A13" s="1" t="s">
        <v>230</v>
      </c>
      <c r="B13" s="18" t="n">
        <f aca="false">IF(1&lt;Assumptions!$B$25,Assumptions!$B$36,0)</f>
        <v>400</v>
      </c>
      <c r="C13" s="18" t="n">
        <f aca="false">IF(2&lt;Assumptions!$B$25,Assumptions!$B$36,0)</f>
        <v>0</v>
      </c>
      <c r="D13" s="18" t="n">
        <f aca="false">IF(3&lt;Assumptions!$B$25,Assumptions!$B$36,0)</f>
        <v>0</v>
      </c>
      <c r="E13" s="18" t="n">
        <f aca="false">IF(4&lt;Assumptions!$B$25,Assumptions!$B$36,0)</f>
        <v>0</v>
      </c>
      <c r="F13" s="18" t="n">
        <f aca="false">IF(5&lt;Assumptions!$B$25,Assumptions!$B$36,0)</f>
        <v>0</v>
      </c>
      <c r="G13" s="18" t="n">
        <f aca="false">IF(6&lt;Assumptions!$B$25,Assumptions!$B$36,0)</f>
        <v>0</v>
      </c>
      <c r="H13" s="18" t="n">
        <f aca="false">IF(7&lt;Assumptions!$B$25,Assumptions!$B$36,0)</f>
        <v>0</v>
      </c>
      <c r="I13" s="18" t="n">
        <f aca="false">IF(8&lt;Assumptions!$B$25,Assumptions!$B$36,0)</f>
        <v>0</v>
      </c>
      <c r="J13" s="18" t="n">
        <f aca="false">IF(9&lt;Assumptions!$B$25,Assumptions!$B$36,0)</f>
        <v>0</v>
      </c>
      <c r="K13" s="18" t="n">
        <f aca="false">IF(10&lt;Assumptions!$B$25,Assumptions!$B$36,0)</f>
        <v>0</v>
      </c>
      <c r="L13" s="18" t="n">
        <f aca="false">IF(11&lt;Assumptions!$B$25,Assumptions!$B$36,0)</f>
        <v>0</v>
      </c>
      <c r="M13" s="18" t="n">
        <f aca="false">IF(12&lt;Assumptions!$B$25,Assumptions!$B$36,0)</f>
        <v>0</v>
      </c>
      <c r="N13" s="18" t="n">
        <f aca="false">SUM(B13:M13)</f>
        <v>400</v>
      </c>
      <c r="O13" s="18" t="n">
        <f aca="false">AVERAGE(B13:M13)</f>
        <v>33.3333333333333</v>
      </c>
    </row>
    <row r="14" customFormat="false" ht="15" hidden="false" customHeight="true" outlineLevel="0" collapsed="false">
      <c r="A14" s="1" t="s">
        <v>66</v>
      </c>
      <c r="B14" s="18" t="n">
        <f aca="false">Assumptions!$B$41</f>
        <v>1200</v>
      </c>
      <c r="C14" s="18" t="n">
        <f aca="false">Assumptions!$B$41</f>
        <v>1200</v>
      </c>
      <c r="D14" s="18" t="n">
        <f aca="false">Assumptions!$B$41</f>
        <v>1200</v>
      </c>
      <c r="E14" s="18" t="n">
        <f aca="false">Assumptions!$B$41</f>
        <v>1200</v>
      </c>
      <c r="F14" s="18" t="n">
        <f aca="false">Assumptions!$B$41</f>
        <v>1200</v>
      </c>
      <c r="G14" s="18" t="n">
        <f aca="false">Assumptions!$B$41</f>
        <v>1200</v>
      </c>
      <c r="H14" s="18" t="n">
        <f aca="false">Assumptions!$B$41</f>
        <v>1200</v>
      </c>
      <c r="I14" s="18" t="n">
        <f aca="false">Assumptions!$B$41</f>
        <v>1200</v>
      </c>
      <c r="J14" s="18" t="n">
        <f aca="false">Assumptions!$B$41</f>
        <v>1200</v>
      </c>
      <c r="K14" s="18" t="n">
        <f aca="false">Assumptions!$B$41</f>
        <v>1200</v>
      </c>
      <c r="L14" s="18" t="n">
        <f aca="false">Assumptions!$B$41</f>
        <v>1200</v>
      </c>
      <c r="M14" s="18" t="n">
        <f aca="false">Assumptions!$B$41</f>
        <v>1200</v>
      </c>
      <c r="N14" s="18" t="n">
        <f aca="false">SUM(B14:M14)</f>
        <v>14400</v>
      </c>
      <c r="O14" s="18" t="n">
        <f aca="false">AVERAGE(B14:M14)</f>
        <v>1200</v>
      </c>
    </row>
    <row r="15" customFormat="false" ht="15" hidden="false" customHeight="true" outlineLevel="0" collapsed="false">
      <c r="A15" s="1" t="s">
        <v>68</v>
      </c>
      <c r="B15" s="18" t="n">
        <f aca="false">Assumptions!$B$42</f>
        <v>250</v>
      </c>
      <c r="C15" s="18" t="n">
        <f aca="false">Assumptions!$B$42</f>
        <v>250</v>
      </c>
      <c r="D15" s="18" t="n">
        <f aca="false">Assumptions!$B$42</f>
        <v>250</v>
      </c>
      <c r="E15" s="18" t="n">
        <f aca="false">Assumptions!$B$42</f>
        <v>250</v>
      </c>
      <c r="F15" s="18" t="n">
        <f aca="false">Assumptions!$B$42</f>
        <v>250</v>
      </c>
      <c r="G15" s="18" t="n">
        <f aca="false">Assumptions!$B$42</f>
        <v>250</v>
      </c>
      <c r="H15" s="18" t="n">
        <f aca="false">Assumptions!$B$42</f>
        <v>250</v>
      </c>
      <c r="I15" s="18" t="n">
        <f aca="false">Assumptions!$B$42</f>
        <v>250</v>
      </c>
      <c r="J15" s="18" t="n">
        <f aca="false">Assumptions!$B$42</f>
        <v>250</v>
      </c>
      <c r="K15" s="18" t="n">
        <f aca="false">Assumptions!$B$42</f>
        <v>250</v>
      </c>
      <c r="L15" s="18" t="n">
        <f aca="false">Assumptions!$B$42</f>
        <v>250</v>
      </c>
      <c r="M15" s="18" t="n">
        <f aca="false">Assumptions!$B$42</f>
        <v>250</v>
      </c>
      <c r="N15" s="18" t="n">
        <f aca="false">SUM(B15:M15)</f>
        <v>3000</v>
      </c>
      <c r="O15" s="18" t="n">
        <f aca="false">AVERAGE(B15:M15)</f>
        <v>250</v>
      </c>
    </row>
    <row r="16" customFormat="false" ht="15" hidden="false" customHeight="true" outlineLevel="0" collapsed="false">
      <c r="A16" s="1" t="s">
        <v>70</v>
      </c>
      <c r="B16" s="18" t="n">
        <f aca="false">Assumptions!$B$43</f>
        <v>350</v>
      </c>
      <c r="C16" s="18" t="n">
        <f aca="false">Assumptions!$B$43</f>
        <v>350</v>
      </c>
      <c r="D16" s="18" t="n">
        <f aca="false">Assumptions!$B$43</f>
        <v>350</v>
      </c>
      <c r="E16" s="18" t="n">
        <f aca="false">Assumptions!$B$43</f>
        <v>350</v>
      </c>
      <c r="F16" s="18" t="n">
        <f aca="false">Assumptions!$B$43</f>
        <v>350</v>
      </c>
      <c r="G16" s="18" t="n">
        <f aca="false">Assumptions!$B$43</f>
        <v>350</v>
      </c>
      <c r="H16" s="18" t="n">
        <f aca="false">Assumptions!$B$43</f>
        <v>350</v>
      </c>
      <c r="I16" s="18" t="n">
        <f aca="false">Assumptions!$B$43</f>
        <v>350</v>
      </c>
      <c r="J16" s="18" t="n">
        <f aca="false">Assumptions!$B$43</f>
        <v>350</v>
      </c>
      <c r="K16" s="18" t="n">
        <f aca="false">Assumptions!$B$43</f>
        <v>350</v>
      </c>
      <c r="L16" s="18" t="n">
        <f aca="false">Assumptions!$B$43</f>
        <v>350</v>
      </c>
      <c r="M16" s="18" t="n">
        <f aca="false">Assumptions!$B$43</f>
        <v>350</v>
      </c>
      <c r="N16" s="18" t="n">
        <f aca="false">SUM(B16:M16)</f>
        <v>4200</v>
      </c>
      <c r="O16" s="18" t="n">
        <f aca="false">AVERAGE(B16:M16)</f>
        <v>350</v>
      </c>
    </row>
    <row r="17" customFormat="false" ht="15" hidden="false" customHeight="true" outlineLevel="0" collapsed="false">
      <c r="A17" s="1" t="s">
        <v>72</v>
      </c>
      <c r="B17" s="18" t="n">
        <f aca="false">Assumptions!$B$44</f>
        <v>100</v>
      </c>
      <c r="C17" s="18" t="n">
        <f aca="false">Assumptions!$B$44</f>
        <v>100</v>
      </c>
      <c r="D17" s="18" t="n">
        <f aca="false">Assumptions!$B$44</f>
        <v>100</v>
      </c>
      <c r="E17" s="18" t="n">
        <f aca="false">Assumptions!$B$44</f>
        <v>100</v>
      </c>
      <c r="F17" s="18" t="n">
        <f aca="false">Assumptions!$B$44</f>
        <v>100</v>
      </c>
      <c r="G17" s="18" t="n">
        <f aca="false">Assumptions!$B$44</f>
        <v>100</v>
      </c>
      <c r="H17" s="18" t="n">
        <f aca="false">Assumptions!$B$44</f>
        <v>100</v>
      </c>
      <c r="I17" s="18" t="n">
        <f aca="false">Assumptions!$B$44</f>
        <v>100</v>
      </c>
      <c r="J17" s="18" t="n">
        <f aca="false">Assumptions!$B$44</f>
        <v>100</v>
      </c>
      <c r="K17" s="18" t="n">
        <f aca="false">Assumptions!$B$44</f>
        <v>100</v>
      </c>
      <c r="L17" s="18" t="n">
        <f aca="false">Assumptions!$B$44</f>
        <v>100</v>
      </c>
      <c r="M17" s="18" t="n">
        <f aca="false">Assumptions!$B$44</f>
        <v>100</v>
      </c>
      <c r="N17" s="18" t="n">
        <f aca="false">SUM(B17:M17)</f>
        <v>1200</v>
      </c>
      <c r="O17" s="18" t="n">
        <f aca="false">AVERAGE(B17:M17)</f>
        <v>100</v>
      </c>
    </row>
    <row r="18" customFormat="false" ht="15" hidden="false" customHeight="true" outlineLevel="0" collapsed="false">
      <c r="A18" s="1" t="s">
        <v>74</v>
      </c>
      <c r="B18" s="18" t="n">
        <f aca="false">Assumptions!$B$45</f>
        <v>300</v>
      </c>
      <c r="C18" s="18" t="n">
        <f aca="false">Assumptions!$B$45</f>
        <v>300</v>
      </c>
      <c r="D18" s="18" t="n">
        <f aca="false">Assumptions!$B$45</f>
        <v>300</v>
      </c>
      <c r="E18" s="18" t="n">
        <f aca="false">Assumptions!$B$45</f>
        <v>300</v>
      </c>
      <c r="F18" s="18" t="n">
        <f aca="false">Assumptions!$B$45</f>
        <v>300</v>
      </c>
      <c r="G18" s="18" t="n">
        <f aca="false">Assumptions!$B$45</f>
        <v>300</v>
      </c>
      <c r="H18" s="18" t="n">
        <f aca="false">Assumptions!$B$45</f>
        <v>300</v>
      </c>
      <c r="I18" s="18" t="n">
        <f aca="false">Assumptions!$B$45</f>
        <v>300</v>
      </c>
      <c r="J18" s="18" t="n">
        <f aca="false">Assumptions!$B$45</f>
        <v>300</v>
      </c>
      <c r="K18" s="18" t="n">
        <f aca="false">Assumptions!$B$45</f>
        <v>300</v>
      </c>
      <c r="L18" s="18" t="n">
        <f aca="false">Assumptions!$B$45</f>
        <v>300</v>
      </c>
      <c r="M18" s="18" t="n">
        <f aca="false">Assumptions!$B$45</f>
        <v>300</v>
      </c>
      <c r="N18" s="18" t="n">
        <f aca="false">SUM(B18:M18)</f>
        <v>3600</v>
      </c>
      <c r="O18" s="18" t="n">
        <f aca="false">AVERAGE(B18:M18)</f>
        <v>300</v>
      </c>
    </row>
    <row r="19" customFormat="false" ht="15" hidden="false" customHeight="true" outlineLevel="0" collapsed="false">
      <c r="A19" s="1" t="s">
        <v>231</v>
      </c>
      <c r="B19" s="18" t="n">
        <f aca="false">Assumptions!$B$46</f>
        <v>320</v>
      </c>
      <c r="C19" s="18" t="n">
        <f aca="false">Assumptions!$B$46</f>
        <v>320</v>
      </c>
      <c r="D19" s="18" t="n">
        <f aca="false">Assumptions!$B$46</f>
        <v>320</v>
      </c>
      <c r="E19" s="18" t="n">
        <f aca="false">Assumptions!$B$46</f>
        <v>320</v>
      </c>
      <c r="F19" s="18" t="n">
        <f aca="false">Assumptions!$B$46</f>
        <v>320</v>
      </c>
      <c r="G19" s="18" t="n">
        <f aca="false">Assumptions!$B$46</f>
        <v>320</v>
      </c>
      <c r="H19" s="18" t="n">
        <f aca="false">Assumptions!$B$46</f>
        <v>320</v>
      </c>
      <c r="I19" s="18" t="n">
        <f aca="false">Assumptions!$B$46</f>
        <v>320</v>
      </c>
      <c r="J19" s="18" t="n">
        <f aca="false">Assumptions!$B$46</f>
        <v>320</v>
      </c>
      <c r="K19" s="18" t="n">
        <f aca="false">Assumptions!$B$46</f>
        <v>320</v>
      </c>
      <c r="L19" s="18" t="n">
        <f aca="false">Assumptions!$B$46</f>
        <v>320</v>
      </c>
      <c r="M19" s="18" t="n">
        <f aca="false">Assumptions!$B$46</f>
        <v>320</v>
      </c>
      <c r="N19" s="18" t="n">
        <f aca="false">SUM(B19:M19)</f>
        <v>3840</v>
      </c>
      <c r="O19" s="18" t="n">
        <f aca="false">AVERAGE(B19:M19)</f>
        <v>320</v>
      </c>
    </row>
    <row r="20" customFormat="false" ht="15" hidden="false" customHeight="true" outlineLevel="0" collapsed="false">
      <c r="A20" s="1" t="s">
        <v>232</v>
      </c>
      <c r="B20" s="18" t="n">
        <f aca="false">Assumptions!$B$47</f>
        <v>1083</v>
      </c>
      <c r="C20" s="18" t="n">
        <f aca="false">Assumptions!$B$47</f>
        <v>1083</v>
      </c>
      <c r="D20" s="18" t="n">
        <f aca="false">Assumptions!$B$47</f>
        <v>1083</v>
      </c>
      <c r="E20" s="18" t="n">
        <f aca="false">Assumptions!$B$47</f>
        <v>1083</v>
      </c>
      <c r="F20" s="18" t="n">
        <f aca="false">Assumptions!$B$47</f>
        <v>1083</v>
      </c>
      <c r="G20" s="18" t="n">
        <f aca="false">Assumptions!$B$47</f>
        <v>1083</v>
      </c>
      <c r="H20" s="18" t="n">
        <f aca="false">Assumptions!$B$47</f>
        <v>1083</v>
      </c>
      <c r="I20" s="18" t="n">
        <f aca="false">Assumptions!$B$47</f>
        <v>1083</v>
      </c>
      <c r="J20" s="18" t="n">
        <f aca="false">Assumptions!$B$47</f>
        <v>1083</v>
      </c>
      <c r="K20" s="18" t="n">
        <f aca="false">Assumptions!$B$47</f>
        <v>1083</v>
      </c>
      <c r="L20" s="18" t="n">
        <f aca="false">Assumptions!$B$47</f>
        <v>1083</v>
      </c>
      <c r="M20" s="18" t="n">
        <f aca="false">Assumptions!$B$47</f>
        <v>1083</v>
      </c>
      <c r="N20" s="18" t="n">
        <f aca="false">SUM(B20:M20)</f>
        <v>12996</v>
      </c>
      <c r="O20" s="18" t="n">
        <f aca="false">AVERAGE(B20:M20)</f>
        <v>1083</v>
      </c>
    </row>
    <row r="21" customFormat="false" ht="15" hidden="false" customHeight="true" outlineLevel="0" collapsed="false">
      <c r="A21" s="24" t="s">
        <v>233</v>
      </c>
      <c r="B21" s="20" t="n">
        <f aca="false">SUM(B5:B20)</f>
        <v>9667</v>
      </c>
      <c r="C21" s="20" t="n">
        <f aca="false">SUM(C5:C20)</f>
        <v>20267</v>
      </c>
      <c r="D21" s="20" t="n">
        <f aca="false">SUM(D5:D20)</f>
        <v>8034</v>
      </c>
      <c r="E21" s="20" t="n">
        <f aca="false">SUM(E5:E20)</f>
        <v>8034</v>
      </c>
      <c r="F21" s="20" t="n">
        <f aca="false">SUM(F5:F20)</f>
        <v>8034</v>
      </c>
      <c r="G21" s="20" t="n">
        <f aca="false">SUM(G5:G20)</f>
        <v>8034</v>
      </c>
      <c r="H21" s="20" t="n">
        <f aca="false">SUM(H5:H20)</f>
        <v>8034</v>
      </c>
      <c r="I21" s="20" t="n">
        <f aca="false">SUM(I5:I20)</f>
        <v>8034</v>
      </c>
      <c r="J21" s="20" t="n">
        <f aca="false">SUM(J5:J20)</f>
        <v>8034</v>
      </c>
      <c r="K21" s="20" t="n">
        <f aca="false">SUM(K5:K20)</f>
        <v>8034</v>
      </c>
      <c r="L21" s="20" t="n">
        <f aca="false">SUM(L5:L20)</f>
        <v>8034</v>
      </c>
      <c r="M21" s="20" t="n">
        <f aca="false">SUM(M5:M20)</f>
        <v>8034</v>
      </c>
      <c r="N21" s="20" t="n">
        <f aca="false">SUM(B21:M21)</f>
        <v>110274</v>
      </c>
      <c r="O21" s="20" t="n">
        <f aca="false">AVERAGE(B21:M21)</f>
        <v>9189.5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15" min="2" style="1" width="11"/>
  </cols>
  <sheetData>
    <row r="1" customFormat="false" ht="17.25" hidden="false" customHeight="true" outlineLevel="0" collapsed="false">
      <c r="A1" s="2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235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" hidden="false" customHeight="true" outlineLevel="0" collapsed="false">
      <c r="A4" s="17" t="s">
        <v>192</v>
      </c>
      <c r="B4" s="17" t="s">
        <v>101</v>
      </c>
      <c r="C4" s="17" t="s">
        <v>102</v>
      </c>
      <c r="D4" s="17" t="s">
        <v>103</v>
      </c>
      <c r="E4" s="17" t="s">
        <v>104</v>
      </c>
      <c r="F4" s="17" t="s">
        <v>105</v>
      </c>
      <c r="G4" s="17" t="s">
        <v>106</v>
      </c>
      <c r="H4" s="17" t="s">
        <v>107</v>
      </c>
      <c r="I4" s="17" t="s">
        <v>108</v>
      </c>
      <c r="J4" s="17" t="s">
        <v>109</v>
      </c>
      <c r="K4" s="17" t="s">
        <v>110</v>
      </c>
      <c r="L4" s="17" t="s">
        <v>111</v>
      </c>
      <c r="M4" s="17" t="s">
        <v>112</v>
      </c>
      <c r="N4" s="17" t="s">
        <v>113</v>
      </c>
      <c r="O4" s="17" t="s">
        <v>114</v>
      </c>
    </row>
    <row r="5" customFormat="false" ht="15" hidden="false" customHeight="true" outlineLevel="0" collapsed="false">
      <c r="A5" s="4" t="s">
        <v>236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true" outlineLevel="0" collapsed="false">
      <c r="A6" s="1" t="s">
        <v>237</v>
      </c>
      <c r="B6" s="18" t="n">
        <f aca="false">Forecast!B6</f>
        <v>1500</v>
      </c>
      <c r="C6" s="18" t="n">
        <f aca="false">Forecast!C6</f>
        <v>3000</v>
      </c>
      <c r="D6" s="18" t="n">
        <f aca="false">Forecast!D6</f>
        <v>3000</v>
      </c>
      <c r="E6" s="18" t="n">
        <f aca="false">Forecast!E6</f>
        <v>3000</v>
      </c>
      <c r="F6" s="18" t="n">
        <f aca="false">Forecast!F6</f>
        <v>3000</v>
      </c>
      <c r="G6" s="18" t="n">
        <f aca="false">Forecast!G6</f>
        <v>3000</v>
      </c>
      <c r="H6" s="18" t="n">
        <f aca="false">Forecast!H6</f>
        <v>3000</v>
      </c>
      <c r="I6" s="18" t="n">
        <f aca="false">Forecast!I6</f>
        <v>3000</v>
      </c>
      <c r="J6" s="18" t="n">
        <f aca="false">Forecast!J6</f>
        <v>3000</v>
      </c>
      <c r="K6" s="18" t="n">
        <f aca="false">Forecast!K6</f>
        <v>3000</v>
      </c>
      <c r="L6" s="18" t="n">
        <f aca="false">Forecast!L6</f>
        <v>3000</v>
      </c>
      <c r="M6" s="18" t="n">
        <f aca="false">Forecast!M6</f>
        <v>3000</v>
      </c>
      <c r="N6" s="18" t="n">
        <f aca="false">SUM(B6:M6)</f>
        <v>34500</v>
      </c>
      <c r="O6" s="18" t="n">
        <f aca="false">AVERAGE(B6:M6)</f>
        <v>2875</v>
      </c>
    </row>
    <row r="7" customFormat="false" ht="15" hidden="false" customHeight="true" outlineLevel="0" collapsed="false">
      <c r="A7" s="1" t="s">
        <v>238</v>
      </c>
      <c r="B7" s="18" t="n">
        <f aca="false">Forecast!B7</f>
        <v>0</v>
      </c>
      <c r="C7" s="18" t="n">
        <f aca="false">Forecast!C7</f>
        <v>0</v>
      </c>
      <c r="D7" s="18" t="n">
        <f aca="false">Forecast!D7</f>
        <v>0</v>
      </c>
      <c r="E7" s="18" t="n">
        <f aca="false">Forecast!E7</f>
        <v>3000</v>
      </c>
      <c r="F7" s="18" t="n">
        <f aca="false">Forecast!F7</f>
        <v>3000</v>
      </c>
      <c r="G7" s="18" t="n">
        <f aca="false">Forecast!G7</f>
        <v>3000</v>
      </c>
      <c r="H7" s="18" t="n">
        <f aca="false">Forecast!H7</f>
        <v>3000</v>
      </c>
      <c r="I7" s="18" t="n">
        <f aca="false">Forecast!I7</f>
        <v>3000</v>
      </c>
      <c r="J7" s="18" t="n">
        <f aca="false">Forecast!J7</f>
        <v>3000</v>
      </c>
      <c r="K7" s="18" t="n">
        <f aca="false">Forecast!K7</f>
        <v>3000</v>
      </c>
      <c r="L7" s="18" t="n">
        <f aca="false">Forecast!L7</f>
        <v>3000</v>
      </c>
      <c r="M7" s="18" t="n">
        <f aca="false">Forecast!M7</f>
        <v>3000</v>
      </c>
      <c r="N7" s="18" t="n">
        <f aca="false">SUM(B7:M7)</f>
        <v>27000</v>
      </c>
      <c r="O7" s="18" t="n">
        <f aca="false">AVERAGE(B7:M7)</f>
        <v>2250</v>
      </c>
    </row>
    <row r="8" customFormat="false" ht="15" hidden="false" customHeight="true" outlineLevel="0" collapsed="false">
      <c r="A8" s="1" t="s">
        <v>239</v>
      </c>
      <c r="B8" s="18" t="n">
        <f aca="false">Forecast!B8</f>
        <v>2000</v>
      </c>
      <c r="C8" s="18" t="n">
        <f aca="false">Forecast!C8</f>
        <v>2000</v>
      </c>
      <c r="D8" s="18" t="n">
        <f aca="false">Forecast!D8</f>
        <v>2000</v>
      </c>
      <c r="E8" s="18" t="n">
        <f aca="false">Forecast!E8</f>
        <v>2000</v>
      </c>
      <c r="F8" s="18" t="n">
        <f aca="false">Forecast!F8</f>
        <v>2000</v>
      </c>
      <c r="G8" s="18" t="n">
        <f aca="false">Forecast!G8</f>
        <v>2000</v>
      </c>
      <c r="H8" s="18" t="n">
        <f aca="false">Forecast!H8</f>
        <v>2000</v>
      </c>
      <c r="I8" s="18" t="n">
        <f aca="false">Forecast!I8</f>
        <v>2000</v>
      </c>
      <c r="J8" s="18" t="n">
        <f aca="false">Forecast!J8</f>
        <v>2000</v>
      </c>
      <c r="K8" s="18" t="n">
        <f aca="false">Forecast!K8</f>
        <v>2000</v>
      </c>
      <c r="L8" s="18" t="n">
        <f aca="false">Forecast!L8</f>
        <v>2000</v>
      </c>
      <c r="M8" s="18" t="n">
        <f aca="false">Forecast!M8</f>
        <v>2000</v>
      </c>
      <c r="N8" s="18" t="n">
        <f aca="false">SUM(B8:M8)</f>
        <v>24000</v>
      </c>
      <c r="O8" s="18" t="n">
        <f aca="false">AVERAGE(B8:M8)</f>
        <v>2000</v>
      </c>
    </row>
    <row r="9" customFormat="false" ht="15" hidden="false" customHeight="true" outlineLevel="0" collapsed="false">
      <c r="A9" s="24" t="s">
        <v>240</v>
      </c>
      <c r="B9" s="19" t="n">
        <f aca="false">SUM(B6:B8)</f>
        <v>3500</v>
      </c>
      <c r="C9" s="19" t="n">
        <f aca="false">SUM(C6:C8)</f>
        <v>5000</v>
      </c>
      <c r="D9" s="19" t="n">
        <f aca="false">SUM(D6:D8)</f>
        <v>5000</v>
      </c>
      <c r="E9" s="19" t="n">
        <f aca="false">SUM(E6:E8)</f>
        <v>8000</v>
      </c>
      <c r="F9" s="19" t="n">
        <f aca="false">SUM(F6:F8)</f>
        <v>8000</v>
      </c>
      <c r="G9" s="19" t="n">
        <f aca="false">SUM(G6:G8)</f>
        <v>8000</v>
      </c>
      <c r="H9" s="19" t="n">
        <f aca="false">SUM(H6:H8)</f>
        <v>8000</v>
      </c>
      <c r="I9" s="19" t="n">
        <f aca="false">SUM(I6:I8)</f>
        <v>8000</v>
      </c>
      <c r="J9" s="19" t="n">
        <f aca="false">SUM(J6:J8)</f>
        <v>8000</v>
      </c>
      <c r="K9" s="19" t="n">
        <f aca="false">SUM(K6:K8)</f>
        <v>8000</v>
      </c>
      <c r="L9" s="19" t="n">
        <f aca="false">SUM(L6:L8)</f>
        <v>8000</v>
      </c>
      <c r="M9" s="19" t="n">
        <f aca="false">SUM(M6:M8)</f>
        <v>8000</v>
      </c>
      <c r="N9" s="19" t="n">
        <f aca="false">SUM(B9:M9)</f>
        <v>85500</v>
      </c>
      <c r="O9" s="19" t="n">
        <f aca="false">AVERAGE(B9:M9)</f>
        <v>7125</v>
      </c>
    </row>
    <row r="11" customFormat="false" ht="15" hidden="false" customHeight="true" outlineLevel="0" collapsed="false">
      <c r="A11" s="4" t="s">
        <v>241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customFormat="false" ht="15" hidden="false" customHeight="true" outlineLevel="0" collapsed="false">
      <c r="A12" s="1" t="s">
        <v>242</v>
      </c>
      <c r="B12" s="18" t="n">
        <f aca="false">Assumptions!$B$52</f>
        <v>100</v>
      </c>
      <c r="C12" s="18" t="n">
        <f aca="false">Assumptions!$B$52</f>
        <v>100</v>
      </c>
      <c r="D12" s="18" t="n">
        <f aca="false">Assumptions!$B$52</f>
        <v>100</v>
      </c>
      <c r="E12" s="18" t="n">
        <f aca="false">Assumptions!$B$52</f>
        <v>100</v>
      </c>
      <c r="F12" s="18" t="n">
        <f aca="false">Assumptions!$B$52</f>
        <v>100</v>
      </c>
      <c r="G12" s="18" t="n">
        <f aca="false">Assumptions!$B$52</f>
        <v>100</v>
      </c>
      <c r="H12" s="18" t="n">
        <f aca="false">Assumptions!$B$52</f>
        <v>100</v>
      </c>
      <c r="I12" s="18" t="n">
        <f aca="false">Assumptions!$B$52</f>
        <v>100</v>
      </c>
      <c r="J12" s="18" t="n">
        <f aca="false">Assumptions!$B$52</f>
        <v>100</v>
      </c>
      <c r="K12" s="18" t="n">
        <f aca="false">Assumptions!$B$52</f>
        <v>100</v>
      </c>
      <c r="L12" s="18" t="n">
        <f aca="false">Assumptions!$B$52</f>
        <v>100</v>
      </c>
      <c r="M12" s="18" t="n">
        <f aca="false">Assumptions!$B$52</f>
        <v>100</v>
      </c>
      <c r="N12" s="18" t="n">
        <f aca="false">SUM(B12:M12)</f>
        <v>1200</v>
      </c>
      <c r="O12" s="18" t="n">
        <f aca="false">AVERAGE(B12:M12)</f>
        <v>100</v>
      </c>
    </row>
    <row r="13" customFormat="false" ht="15" hidden="false" customHeight="true" outlineLevel="0" collapsed="false">
      <c r="A13" s="1" t="s">
        <v>243</v>
      </c>
      <c r="B13" s="18" t="n">
        <f aca="false">Assumptions!$B$53</f>
        <v>20</v>
      </c>
      <c r="C13" s="18" t="n">
        <f aca="false">Assumptions!$B$53</f>
        <v>20</v>
      </c>
      <c r="D13" s="18" t="n">
        <f aca="false">Assumptions!$B$53</f>
        <v>20</v>
      </c>
      <c r="E13" s="18" t="n">
        <f aca="false">Assumptions!$B$53</f>
        <v>20</v>
      </c>
      <c r="F13" s="18" t="n">
        <f aca="false">Assumptions!$B$53</f>
        <v>20</v>
      </c>
      <c r="G13" s="18" t="n">
        <f aca="false">Assumptions!$B$53</f>
        <v>20</v>
      </c>
      <c r="H13" s="18" t="n">
        <f aca="false">Assumptions!$B$53</f>
        <v>20</v>
      </c>
      <c r="I13" s="18" t="n">
        <f aca="false">Assumptions!$B$53</f>
        <v>20</v>
      </c>
      <c r="J13" s="18" t="n">
        <f aca="false">Assumptions!$B$53</f>
        <v>20</v>
      </c>
      <c r="K13" s="18" t="n">
        <f aca="false">Assumptions!$B$53</f>
        <v>20</v>
      </c>
      <c r="L13" s="18" t="n">
        <f aca="false">Assumptions!$B$53</f>
        <v>20</v>
      </c>
      <c r="M13" s="18" t="n">
        <f aca="false">Assumptions!$B$53</f>
        <v>20</v>
      </c>
      <c r="N13" s="18" t="n">
        <f aca="false">SUM(B13:M13)</f>
        <v>240</v>
      </c>
      <c r="O13" s="18" t="n">
        <f aca="false">AVERAGE(B13:M13)</f>
        <v>20</v>
      </c>
    </row>
    <row r="14" customFormat="false" ht="15" hidden="false" customHeight="true" outlineLevel="0" collapsed="false">
      <c r="A14" s="1" t="s">
        <v>88</v>
      </c>
      <c r="B14" s="18" t="n">
        <f aca="false">Assumptions!$B$54</f>
        <v>100</v>
      </c>
      <c r="C14" s="18" t="n">
        <f aca="false">Assumptions!$B$54</f>
        <v>100</v>
      </c>
      <c r="D14" s="18" t="n">
        <f aca="false">Assumptions!$B$54</f>
        <v>100</v>
      </c>
      <c r="E14" s="18" t="n">
        <f aca="false">Assumptions!$B$54</f>
        <v>100</v>
      </c>
      <c r="F14" s="18" t="n">
        <f aca="false">Assumptions!$B$54</f>
        <v>100</v>
      </c>
      <c r="G14" s="18" t="n">
        <f aca="false">Assumptions!$B$54</f>
        <v>100</v>
      </c>
      <c r="H14" s="18" t="n">
        <f aca="false">Assumptions!$B$54</f>
        <v>100</v>
      </c>
      <c r="I14" s="18" t="n">
        <f aca="false">Assumptions!$B$54</f>
        <v>100</v>
      </c>
      <c r="J14" s="18" t="n">
        <f aca="false">Assumptions!$B$54</f>
        <v>100</v>
      </c>
      <c r="K14" s="18" t="n">
        <f aca="false">Assumptions!$B$54</f>
        <v>100</v>
      </c>
      <c r="L14" s="18" t="n">
        <f aca="false">Assumptions!$B$54</f>
        <v>100</v>
      </c>
      <c r="M14" s="18" t="n">
        <f aca="false">Assumptions!$B$54</f>
        <v>100</v>
      </c>
      <c r="N14" s="18" t="n">
        <f aca="false">SUM(B14:M14)</f>
        <v>1200</v>
      </c>
      <c r="O14" s="18" t="n">
        <f aca="false">AVERAGE(B14:M14)</f>
        <v>100</v>
      </c>
    </row>
    <row r="15" customFormat="false" ht="15" hidden="false" customHeight="true" outlineLevel="0" collapsed="false">
      <c r="A15" s="1" t="s">
        <v>244</v>
      </c>
      <c r="B15" s="18" t="n">
        <f aca="false">Assumptions!$B$55</f>
        <v>27</v>
      </c>
      <c r="C15" s="18" t="n">
        <f aca="false">Assumptions!$B$55</f>
        <v>27</v>
      </c>
      <c r="D15" s="18" t="n">
        <f aca="false">Assumptions!$B$55</f>
        <v>27</v>
      </c>
      <c r="E15" s="18" t="n">
        <f aca="false">Assumptions!$B$55</f>
        <v>27</v>
      </c>
      <c r="F15" s="18" t="n">
        <f aca="false">Assumptions!$B$55</f>
        <v>27</v>
      </c>
      <c r="G15" s="18" t="n">
        <f aca="false">Assumptions!$B$55</f>
        <v>27</v>
      </c>
      <c r="H15" s="18" t="n">
        <f aca="false">Assumptions!$B$55</f>
        <v>27</v>
      </c>
      <c r="I15" s="18" t="n">
        <f aca="false">Assumptions!$B$55</f>
        <v>27</v>
      </c>
      <c r="J15" s="18" t="n">
        <f aca="false">Assumptions!$B$55</f>
        <v>27</v>
      </c>
      <c r="K15" s="18" t="n">
        <f aca="false">Assumptions!$B$55</f>
        <v>27</v>
      </c>
      <c r="L15" s="18" t="n">
        <f aca="false">Assumptions!$B$55</f>
        <v>27</v>
      </c>
      <c r="M15" s="18" t="n">
        <f aca="false">Assumptions!$B$55</f>
        <v>27</v>
      </c>
      <c r="N15" s="18" t="n">
        <f aca="false">SUM(B15:M15)</f>
        <v>324</v>
      </c>
      <c r="O15" s="18" t="n">
        <f aca="false">AVERAGE(B15:M15)</f>
        <v>27</v>
      </c>
    </row>
    <row r="16" customFormat="false" ht="15" hidden="false" customHeight="true" outlineLevel="0" collapsed="false">
      <c r="A16" s="1" t="s">
        <v>245</v>
      </c>
      <c r="B16" s="18" t="n">
        <f aca="false">Assumptions!$B$56</f>
        <v>125</v>
      </c>
      <c r="C16" s="18" t="n">
        <f aca="false">Assumptions!$B$56</f>
        <v>125</v>
      </c>
      <c r="D16" s="18" t="n">
        <f aca="false">Assumptions!$B$56</f>
        <v>125</v>
      </c>
      <c r="E16" s="18" t="n">
        <f aca="false">Assumptions!$B$56</f>
        <v>125</v>
      </c>
      <c r="F16" s="18" t="n">
        <f aca="false">Assumptions!$B$56</f>
        <v>125</v>
      </c>
      <c r="G16" s="18" t="n">
        <f aca="false">Assumptions!$B$56</f>
        <v>125</v>
      </c>
      <c r="H16" s="18" t="n">
        <f aca="false">Assumptions!$B$56</f>
        <v>125</v>
      </c>
      <c r="I16" s="18" t="n">
        <f aca="false">Assumptions!$B$56</f>
        <v>125</v>
      </c>
      <c r="J16" s="18" t="n">
        <f aca="false">Assumptions!$B$56</f>
        <v>125</v>
      </c>
      <c r="K16" s="18" t="n">
        <f aca="false">Assumptions!$B$56</f>
        <v>125</v>
      </c>
      <c r="L16" s="18" t="n">
        <f aca="false">Assumptions!$B$56</f>
        <v>125</v>
      </c>
      <c r="M16" s="18" t="n">
        <f aca="false">Assumptions!$B$56</f>
        <v>125</v>
      </c>
      <c r="N16" s="18" t="n">
        <f aca="false">SUM(B16:M16)</f>
        <v>1500</v>
      </c>
      <c r="O16" s="18" t="n">
        <f aca="false">AVERAGE(B16:M16)</f>
        <v>125</v>
      </c>
    </row>
    <row r="17" customFormat="false" ht="15" hidden="false" customHeight="true" outlineLevel="0" collapsed="false">
      <c r="A17" s="1" t="s">
        <v>246</v>
      </c>
      <c r="B17" s="18" t="n">
        <f aca="false">Assumptions!$B$57</f>
        <v>75</v>
      </c>
      <c r="C17" s="18" t="n">
        <f aca="false">Assumptions!$B$57</f>
        <v>75</v>
      </c>
      <c r="D17" s="18" t="n">
        <f aca="false">Assumptions!$B$57</f>
        <v>75</v>
      </c>
      <c r="E17" s="18" t="n">
        <f aca="false">Assumptions!$B$57</f>
        <v>75</v>
      </c>
      <c r="F17" s="18" t="n">
        <f aca="false">Assumptions!$B$57</f>
        <v>75</v>
      </c>
      <c r="G17" s="18" t="n">
        <f aca="false">Assumptions!$B$57</f>
        <v>75</v>
      </c>
      <c r="H17" s="18" t="n">
        <f aca="false">Assumptions!$B$57</f>
        <v>75</v>
      </c>
      <c r="I17" s="18" t="n">
        <f aca="false">Assumptions!$B$57</f>
        <v>75</v>
      </c>
      <c r="J17" s="18" t="n">
        <f aca="false">Assumptions!$B$57</f>
        <v>75</v>
      </c>
      <c r="K17" s="18" t="n">
        <f aca="false">Assumptions!$B$57</f>
        <v>75</v>
      </c>
      <c r="L17" s="18" t="n">
        <f aca="false">Assumptions!$B$57</f>
        <v>75</v>
      </c>
      <c r="M17" s="18" t="n">
        <f aca="false">Assumptions!$B$57</f>
        <v>75</v>
      </c>
      <c r="N17" s="18" t="n">
        <f aca="false">SUM(B17:M17)</f>
        <v>900</v>
      </c>
      <c r="O17" s="18" t="n">
        <f aca="false">AVERAGE(B17:M17)</f>
        <v>75</v>
      </c>
    </row>
    <row r="18" customFormat="false" ht="15" hidden="false" customHeight="true" outlineLevel="0" collapsed="false">
      <c r="A18" s="1" t="s">
        <v>95</v>
      </c>
      <c r="B18" s="18" t="n">
        <f aca="false">Assumptions!$B$58</f>
        <v>50</v>
      </c>
      <c r="C18" s="18" t="n">
        <f aca="false">Assumptions!$B$58</f>
        <v>50</v>
      </c>
      <c r="D18" s="18" t="n">
        <f aca="false">Assumptions!$B$58</f>
        <v>50</v>
      </c>
      <c r="E18" s="18" t="n">
        <f aca="false">Assumptions!$B$58</f>
        <v>50</v>
      </c>
      <c r="F18" s="18" t="n">
        <f aca="false">Assumptions!$B$58</f>
        <v>50</v>
      </c>
      <c r="G18" s="18" t="n">
        <f aca="false">Assumptions!$B$58</f>
        <v>50</v>
      </c>
      <c r="H18" s="18" t="n">
        <f aca="false">Assumptions!$B$58</f>
        <v>50</v>
      </c>
      <c r="I18" s="18" t="n">
        <f aca="false">Assumptions!$B$58</f>
        <v>50</v>
      </c>
      <c r="J18" s="18" t="n">
        <f aca="false">Assumptions!$B$58</f>
        <v>50</v>
      </c>
      <c r="K18" s="18" t="n">
        <f aca="false">Assumptions!$B$58</f>
        <v>50</v>
      </c>
      <c r="L18" s="18" t="n">
        <f aca="false">Assumptions!$B$58</f>
        <v>50</v>
      </c>
      <c r="M18" s="18" t="n">
        <f aca="false">Assumptions!$B$58</f>
        <v>50</v>
      </c>
      <c r="N18" s="18" t="n">
        <f aca="false">SUM(B18:M18)</f>
        <v>600</v>
      </c>
      <c r="O18" s="18" t="n">
        <f aca="false">AVERAGE(B18:M18)</f>
        <v>50</v>
      </c>
    </row>
    <row r="19" customFormat="false" ht="15" hidden="false" customHeight="true" outlineLevel="0" collapsed="false">
      <c r="A19" s="1" t="s">
        <v>247</v>
      </c>
      <c r="B19" s="18" t="n">
        <f aca="false">Assumptions!$B$59/12</f>
        <v>29.1666666666667</v>
      </c>
      <c r="C19" s="18" t="n">
        <f aca="false">Assumptions!$B$59/12</f>
        <v>29.1666666666667</v>
      </c>
      <c r="D19" s="18" t="n">
        <f aca="false">Assumptions!$B$59/12</f>
        <v>29.1666666666667</v>
      </c>
      <c r="E19" s="18" t="n">
        <f aca="false">Assumptions!$B$59/12</f>
        <v>29.1666666666667</v>
      </c>
      <c r="F19" s="18" t="n">
        <f aca="false">Assumptions!$B$59/12</f>
        <v>29.1666666666667</v>
      </c>
      <c r="G19" s="18" t="n">
        <f aca="false">Assumptions!$B$59/12</f>
        <v>29.1666666666667</v>
      </c>
      <c r="H19" s="18" t="n">
        <f aca="false">Assumptions!$B$59/12</f>
        <v>29.1666666666667</v>
      </c>
      <c r="I19" s="18" t="n">
        <f aca="false">Assumptions!$B$59/12</f>
        <v>29.1666666666667</v>
      </c>
      <c r="J19" s="18" t="n">
        <f aca="false">Assumptions!$B$59/12</f>
        <v>29.1666666666667</v>
      </c>
      <c r="K19" s="18" t="n">
        <f aca="false">Assumptions!$B$59/12</f>
        <v>29.1666666666667</v>
      </c>
      <c r="L19" s="18" t="n">
        <f aca="false">Assumptions!$B$59/12</f>
        <v>29.1666666666667</v>
      </c>
      <c r="M19" s="18" t="n">
        <f aca="false">Assumptions!$B$59/12</f>
        <v>29.1666666666667</v>
      </c>
      <c r="N19" s="18" t="n">
        <f aca="false">SUM(B19:M19)</f>
        <v>350</v>
      </c>
      <c r="O19" s="18" t="n">
        <f aca="false">AVERAGE(B19:M19)</f>
        <v>29.1666666666667</v>
      </c>
    </row>
    <row r="20" customFormat="false" ht="15" hidden="false" customHeight="true" outlineLevel="0" collapsed="false">
      <c r="A20" s="24" t="s">
        <v>248</v>
      </c>
      <c r="B20" s="20" t="n">
        <f aca="false">SUM(B12:B19)</f>
        <v>526.166666666667</v>
      </c>
      <c r="C20" s="20" t="n">
        <f aca="false">SUM(C12:C19)</f>
        <v>526.166666666667</v>
      </c>
      <c r="D20" s="20" t="n">
        <f aca="false">SUM(D12:D19)</f>
        <v>526.166666666667</v>
      </c>
      <c r="E20" s="20" t="n">
        <f aca="false">SUM(E12:E19)</f>
        <v>526.166666666667</v>
      </c>
      <c r="F20" s="20" t="n">
        <f aca="false">SUM(F12:F19)</f>
        <v>526.166666666667</v>
      </c>
      <c r="G20" s="20" t="n">
        <f aca="false">SUM(G12:G19)</f>
        <v>526.166666666667</v>
      </c>
      <c r="H20" s="20" t="n">
        <f aca="false">SUM(H12:H19)</f>
        <v>526.166666666667</v>
      </c>
      <c r="I20" s="20" t="n">
        <f aca="false">SUM(I12:I19)</f>
        <v>526.166666666667</v>
      </c>
      <c r="J20" s="20" t="n">
        <f aca="false">SUM(J12:J19)</f>
        <v>526.166666666667</v>
      </c>
      <c r="K20" s="20" t="n">
        <f aca="false">SUM(K12:K19)</f>
        <v>526.166666666667</v>
      </c>
      <c r="L20" s="20" t="n">
        <f aca="false">SUM(L12:L19)</f>
        <v>526.166666666667</v>
      </c>
      <c r="M20" s="20" t="n">
        <f aca="false">SUM(M12:M19)</f>
        <v>526.166666666667</v>
      </c>
      <c r="N20" s="20" t="n">
        <f aca="false">SUM(B20:M20)</f>
        <v>6314</v>
      </c>
      <c r="O20" s="20" t="n">
        <f aca="false">AVERAGE(B20:M20)</f>
        <v>526.166666666667</v>
      </c>
    </row>
    <row r="22" customFormat="false" ht="15" hidden="false" customHeight="true" outlineLevel="0" collapsed="false">
      <c r="A22" s="24" t="s">
        <v>249</v>
      </c>
      <c r="B22" s="19" t="n">
        <f aca="false">B9-B20</f>
        <v>2973.83333333333</v>
      </c>
      <c r="C22" s="19" t="n">
        <f aca="false">C9-C20</f>
        <v>4473.83333333333</v>
      </c>
      <c r="D22" s="19" t="n">
        <f aca="false">D9-D20</f>
        <v>4473.83333333333</v>
      </c>
      <c r="E22" s="19" t="n">
        <f aca="false">E9-E20</f>
        <v>7473.83333333333</v>
      </c>
      <c r="F22" s="19" t="n">
        <f aca="false">F9-F20</f>
        <v>7473.83333333333</v>
      </c>
      <c r="G22" s="19" t="n">
        <f aca="false">G9-G20</f>
        <v>7473.83333333333</v>
      </c>
      <c r="H22" s="19" t="n">
        <f aca="false">H9-H20</f>
        <v>7473.83333333333</v>
      </c>
      <c r="I22" s="19" t="n">
        <f aca="false">I9-I20</f>
        <v>7473.83333333333</v>
      </c>
      <c r="J22" s="19" t="n">
        <f aca="false">J9-J20</f>
        <v>7473.83333333333</v>
      </c>
      <c r="K22" s="19" t="n">
        <f aca="false">K9-K20</f>
        <v>7473.83333333333</v>
      </c>
      <c r="L22" s="19" t="n">
        <f aca="false">L9-L20</f>
        <v>7473.83333333333</v>
      </c>
      <c r="M22" s="19" t="n">
        <f aca="false">M9-M20</f>
        <v>7473.83333333333</v>
      </c>
      <c r="N22" s="19" t="n">
        <f aca="false">SUM(B22:M22)</f>
        <v>79186</v>
      </c>
      <c r="O22" s="19" t="n">
        <f aca="false">AVERAGE(B22:M22)</f>
        <v>6598.83333333333</v>
      </c>
    </row>
    <row r="24" customFormat="false" ht="15" hidden="false" customHeight="true" outlineLevel="0" collapsed="false">
      <c r="A24" s="1" t="s">
        <v>250</v>
      </c>
      <c r="B24" s="23" t="n">
        <f aca="false">IFERROR(B22/B9,0)</f>
        <v>0.849666666666667</v>
      </c>
      <c r="C24" s="23" t="n">
        <f aca="false">IFERROR(C22/C9,0)</f>
        <v>0.894766666666667</v>
      </c>
      <c r="D24" s="23" t="n">
        <f aca="false">IFERROR(D22/D9,0)</f>
        <v>0.894766666666667</v>
      </c>
      <c r="E24" s="23" t="n">
        <f aca="false">IFERROR(E22/E9,0)</f>
        <v>0.934229166666667</v>
      </c>
      <c r="F24" s="23" t="n">
        <f aca="false">IFERROR(F22/F9,0)</f>
        <v>0.934229166666667</v>
      </c>
      <c r="G24" s="23" t="n">
        <f aca="false">IFERROR(G22/G9,0)</f>
        <v>0.934229166666667</v>
      </c>
      <c r="H24" s="23" t="n">
        <f aca="false">IFERROR(H22/H9,0)</f>
        <v>0.934229166666667</v>
      </c>
      <c r="I24" s="23" t="n">
        <f aca="false">IFERROR(I22/I9,0)</f>
        <v>0.934229166666667</v>
      </c>
      <c r="J24" s="23" t="n">
        <f aca="false">IFERROR(J22/J9,0)</f>
        <v>0.934229166666667</v>
      </c>
      <c r="K24" s="23" t="n">
        <f aca="false">IFERROR(K22/K9,0)</f>
        <v>0.934229166666667</v>
      </c>
      <c r="L24" s="23" t="n">
        <f aca="false">IFERROR(L22/L9,0)</f>
        <v>0.934229166666667</v>
      </c>
      <c r="M24" s="23" t="n">
        <f aca="false">IFERROR(M22/M9,0)</f>
        <v>0.934229166666667</v>
      </c>
      <c r="N24" s="23" t="n">
        <f aca="false">IFERROR(N22/N9,0)</f>
        <v>0.926152046783626</v>
      </c>
    </row>
    <row r="26" customFormat="false" ht="15" hidden="false" customHeight="true" outlineLevel="0" collapsed="false">
      <c r="A26" s="4" t="s">
        <v>251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customFormat="false" ht="15" hidden="false" customHeight="true" outlineLevel="0" collapsed="false">
      <c r="A27" s="27" t="s">
        <v>252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customFormat="false" ht="15" hidden="false" customHeight="true" outlineLevel="0" collapsed="false">
      <c r="A28" s="27" t="s">
        <v>253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customFormat="false" ht="15" hidden="false" customHeight="true" outlineLevel="0" collapsed="false">
      <c r="A29" s="27" t="s">
        <v>254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customFormat="false" ht="15" hidden="false" customHeight="true" outlineLevel="0" collapsed="false">
      <c r="A30" s="27" t="s">
        <v>255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customFormat="false" ht="15" hidden="false" customHeight="true" outlineLevel="0" collapsed="false">
      <c r="A31" s="27" t="s">
        <v>256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</sheetData>
  <mergeCells count="10">
    <mergeCell ref="A1:O1"/>
    <mergeCell ref="A2:O2"/>
    <mergeCell ref="A5:O5"/>
    <mergeCell ref="A11:O11"/>
    <mergeCell ref="A26:O26"/>
    <mergeCell ref="A27:O27"/>
    <mergeCell ref="A28:O28"/>
    <mergeCell ref="A29:O29"/>
    <mergeCell ref="A30:O30"/>
    <mergeCell ref="A31:O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13" min="2" style="1" width="12"/>
  </cols>
  <sheetData>
    <row r="1" customFormat="false" ht="17.25" hidden="false" customHeight="true" outlineLevel="0" collapsed="false">
      <c r="A1" s="2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258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customFormat="false" ht="15" hidden="false" customHeight="true" outlineLevel="0" collapsed="false">
      <c r="A4" s="37" t="s">
        <v>192</v>
      </c>
      <c r="B4" s="17" t="s">
        <v>101</v>
      </c>
      <c r="C4" s="17" t="s">
        <v>102</v>
      </c>
      <c r="D4" s="17" t="s">
        <v>103</v>
      </c>
      <c r="E4" s="17" t="s">
        <v>104</v>
      </c>
      <c r="F4" s="17" t="s">
        <v>105</v>
      </c>
      <c r="G4" s="17" t="s">
        <v>106</v>
      </c>
      <c r="H4" s="17" t="s">
        <v>107</v>
      </c>
      <c r="I4" s="17" t="s">
        <v>108</v>
      </c>
      <c r="J4" s="17" t="s">
        <v>109</v>
      </c>
      <c r="K4" s="17" t="s">
        <v>110</v>
      </c>
      <c r="L4" s="17" t="s">
        <v>111</v>
      </c>
      <c r="M4" s="17" t="s">
        <v>112</v>
      </c>
    </row>
    <row r="5" customFormat="false" ht="15" hidden="false" customHeight="true" outlineLevel="0" collapsed="false">
      <c r="A5" s="1" t="s">
        <v>259</v>
      </c>
      <c r="B5" s="18" t="n">
        <f aca="false">Assumptions!$B$48</f>
        <v>11000</v>
      </c>
      <c r="C5" s="18" t="n">
        <f aca="false">B12</f>
        <v>14064.0285076667</v>
      </c>
      <c r="D5" s="18" t="n">
        <f aca="false">C12</f>
        <v>48028.0570153333</v>
      </c>
      <c r="E5" s="18" t="n">
        <f aca="false">D12</f>
        <v>52725.085523</v>
      </c>
      <c r="F5" s="18" t="n">
        <f aca="false">E12</f>
        <v>57422.1140306667</v>
      </c>
      <c r="G5" s="18" t="n">
        <f aca="false">F12</f>
        <v>62119.1425383334</v>
      </c>
      <c r="H5" s="18" t="n">
        <f aca="false">G12</f>
        <v>66816.171046</v>
      </c>
      <c r="I5" s="18" t="n">
        <f aca="false">H12</f>
        <v>71513.1995536667</v>
      </c>
      <c r="J5" s="18" t="n">
        <f aca="false">I12</f>
        <v>76210.2280613333</v>
      </c>
      <c r="K5" s="18" t="n">
        <f aca="false">J12</f>
        <v>80907.256569</v>
      </c>
      <c r="L5" s="18" t="n">
        <f aca="false">K12</f>
        <v>85604.2850766667</v>
      </c>
      <c r="M5" s="18" t="n">
        <f aca="false">L12</f>
        <v>90301.3135843333</v>
      </c>
    </row>
    <row r="6" customFormat="false" ht="15" hidden="false" customHeight="true" outlineLevel="0" collapsed="false">
      <c r="A6" s="1" t="s">
        <v>260</v>
      </c>
      <c r="B6" s="18" t="n">
        <f aca="false">Taxes!$B$43</f>
        <v>13257.1951743333</v>
      </c>
      <c r="C6" s="18" t="n">
        <f aca="false">Taxes!$B$43</f>
        <v>13257.1951743333</v>
      </c>
      <c r="D6" s="18" t="n">
        <f aca="false">Taxes!$B$43</f>
        <v>13257.1951743333</v>
      </c>
      <c r="E6" s="18" t="n">
        <f aca="false">Taxes!$B$43</f>
        <v>13257.1951743333</v>
      </c>
      <c r="F6" s="18" t="n">
        <f aca="false">Taxes!$B$43</f>
        <v>13257.1951743333</v>
      </c>
      <c r="G6" s="18" t="n">
        <f aca="false">Taxes!$B$43</f>
        <v>13257.1951743333</v>
      </c>
      <c r="H6" s="18" t="n">
        <f aca="false">Taxes!$B$43</f>
        <v>13257.1951743333</v>
      </c>
      <c r="I6" s="18" t="n">
        <f aca="false">Taxes!$B$43</f>
        <v>13257.1951743333</v>
      </c>
      <c r="J6" s="18" t="n">
        <f aca="false">Taxes!$B$43</f>
        <v>13257.1951743333</v>
      </c>
      <c r="K6" s="18" t="n">
        <f aca="false">Taxes!$B$43</f>
        <v>13257.1951743333</v>
      </c>
      <c r="L6" s="18" t="n">
        <f aca="false">Taxes!$B$43</f>
        <v>13257.1951743333</v>
      </c>
      <c r="M6" s="18" t="n">
        <f aca="false">Taxes!$B$43</f>
        <v>13257.1951743333</v>
      </c>
    </row>
    <row r="7" customFormat="false" ht="15" hidden="false" customHeight="true" outlineLevel="0" collapsed="false">
      <c r="A7" s="1" t="s">
        <v>261</v>
      </c>
      <c r="B7" s="18" t="n">
        <f aca="false">-'Personal Expenses'!B21</f>
        <v>-9667</v>
      </c>
      <c r="C7" s="18" t="n">
        <f aca="false">-'Personal Expenses'!C21</f>
        <v>-20267</v>
      </c>
      <c r="D7" s="18" t="n">
        <f aca="false">-'Personal Expenses'!D21</f>
        <v>-8034</v>
      </c>
      <c r="E7" s="18" t="n">
        <f aca="false">-'Personal Expenses'!E21</f>
        <v>-8034</v>
      </c>
      <c r="F7" s="18" t="n">
        <f aca="false">-'Personal Expenses'!F21</f>
        <v>-8034</v>
      </c>
      <c r="G7" s="18" t="n">
        <f aca="false">-'Personal Expenses'!G21</f>
        <v>-8034</v>
      </c>
      <c r="H7" s="18" t="n">
        <f aca="false">-'Personal Expenses'!H21</f>
        <v>-8034</v>
      </c>
      <c r="I7" s="18" t="n">
        <f aca="false">-'Personal Expenses'!I21</f>
        <v>-8034</v>
      </c>
      <c r="J7" s="18" t="n">
        <f aca="false">-'Personal Expenses'!J21</f>
        <v>-8034</v>
      </c>
      <c r="K7" s="18" t="n">
        <f aca="false">-'Personal Expenses'!K21</f>
        <v>-8034</v>
      </c>
      <c r="L7" s="18" t="n">
        <f aca="false">-'Personal Expenses'!L21</f>
        <v>-8034</v>
      </c>
      <c r="M7" s="18" t="n">
        <f aca="false">-'Personal Expenses'!M21</f>
        <v>-8034</v>
      </c>
    </row>
    <row r="8" customFormat="false" ht="15" hidden="false" customHeight="true" outlineLevel="0" collapsed="false">
      <c r="A8" s="1" t="s">
        <v>262</v>
      </c>
      <c r="B8" s="18" t="n">
        <f aca="false">-'Framework OPS P&amp;L'!B20</f>
        <v>-526.166666666667</v>
      </c>
      <c r="C8" s="18" t="n">
        <f aca="false">-'Framework OPS P&amp;L'!C20</f>
        <v>-526.166666666667</v>
      </c>
      <c r="D8" s="18" t="n">
        <f aca="false">-'Framework OPS P&amp;L'!D20</f>
        <v>-526.166666666667</v>
      </c>
      <c r="E8" s="18" t="n">
        <f aca="false">-'Framework OPS P&amp;L'!E20</f>
        <v>-526.166666666667</v>
      </c>
      <c r="F8" s="18" t="n">
        <f aca="false">-'Framework OPS P&amp;L'!F20</f>
        <v>-526.166666666667</v>
      </c>
      <c r="G8" s="18" t="n">
        <f aca="false">-'Framework OPS P&amp;L'!G20</f>
        <v>-526.166666666667</v>
      </c>
      <c r="H8" s="18" t="n">
        <f aca="false">-'Framework OPS P&amp;L'!H20</f>
        <v>-526.166666666667</v>
      </c>
      <c r="I8" s="18" t="n">
        <f aca="false">-'Framework OPS P&amp;L'!I20</f>
        <v>-526.166666666667</v>
      </c>
      <c r="J8" s="18" t="n">
        <f aca="false">-'Framework OPS P&amp;L'!J20</f>
        <v>-526.166666666667</v>
      </c>
      <c r="K8" s="18" t="n">
        <f aca="false">-'Framework OPS P&amp;L'!K20</f>
        <v>-526.166666666667</v>
      </c>
      <c r="L8" s="18" t="n">
        <f aca="false">-'Framework OPS P&amp;L'!L20</f>
        <v>-526.166666666667</v>
      </c>
      <c r="M8" s="18" t="n">
        <f aca="false">-'Framework OPS P&amp;L'!M20</f>
        <v>-526.166666666667</v>
      </c>
    </row>
    <row r="9" customFormat="false" ht="15" hidden="false" customHeight="true" outlineLevel="0" collapsed="false">
      <c r="A9" s="1" t="s">
        <v>263</v>
      </c>
      <c r="B9" s="18" t="n">
        <f aca="false">IF(1=Assumptions!$B$25,Assumptions!$B$27,0)</f>
        <v>0</v>
      </c>
      <c r="C9" s="18" t="n">
        <f aca="false">IF(2=Assumptions!$B$25,Assumptions!$B$27,0)</f>
        <v>95000</v>
      </c>
      <c r="D9" s="18" t="n">
        <f aca="false">IF(3=Assumptions!$B$25,Assumptions!$B$27,0)</f>
        <v>0</v>
      </c>
      <c r="E9" s="18" t="n">
        <f aca="false">IF(4=Assumptions!$B$25,Assumptions!$B$27,0)</f>
        <v>0</v>
      </c>
      <c r="F9" s="18" t="n">
        <f aca="false">IF(5=Assumptions!$B$25,Assumptions!$B$27,0)</f>
        <v>0</v>
      </c>
      <c r="G9" s="18" t="n">
        <f aca="false">IF(6=Assumptions!$B$25,Assumptions!$B$27,0)</f>
        <v>0</v>
      </c>
      <c r="H9" s="18" t="n">
        <f aca="false">IF(7=Assumptions!$B$25,Assumptions!$B$27,0)</f>
        <v>0</v>
      </c>
      <c r="I9" s="18" t="n">
        <f aca="false">IF(8=Assumptions!$B$25,Assumptions!$B$27,0)</f>
        <v>0</v>
      </c>
      <c r="J9" s="18" t="n">
        <f aca="false">IF(9=Assumptions!$B$25,Assumptions!$B$27,0)</f>
        <v>0</v>
      </c>
      <c r="K9" s="18" t="n">
        <f aca="false">IF(10=Assumptions!$B$25,Assumptions!$B$27,0)</f>
        <v>0</v>
      </c>
      <c r="L9" s="18" t="n">
        <f aca="false">IF(11=Assumptions!$B$25,Assumptions!$B$27,0)</f>
        <v>0</v>
      </c>
      <c r="M9" s="18" t="n">
        <f aca="false">IF(12=Assumptions!$B$25,Assumptions!$B$27,0)</f>
        <v>0</v>
      </c>
    </row>
    <row r="10" customFormat="false" ht="15" hidden="false" customHeight="true" outlineLevel="0" collapsed="false">
      <c r="A10" s="1" t="s">
        <v>264</v>
      </c>
      <c r="B10" s="18" t="n">
        <f aca="false">-(IF(1=Assumptions!$B$25,Assumptions!$B$35,0)+IF(AND(Assumptions!$B$37&gt;0,1=Assumptions!$B$37),13000,0)+IF(AND(Assumptions!$B$38&gt;0,1=Assumptions!$B$38),24500,0))</f>
        <v>-0</v>
      </c>
      <c r="C10" s="18" t="n">
        <f aca="false">-(IF(2=Assumptions!$B$25,Assumptions!$B$35,0)+IF(AND(Assumptions!$B$37&gt;0,2=Assumptions!$B$37),13000,0)+IF(AND(Assumptions!$B$38&gt;0,2=Assumptions!$B$38),24500,0))</f>
        <v>-53500</v>
      </c>
      <c r="D10" s="18" t="n">
        <f aca="false">-(IF(3=Assumptions!$B$25,Assumptions!$B$35,0)+IF(AND(Assumptions!$B$37&gt;0,3=Assumptions!$B$37),13000,0)+IF(AND(Assumptions!$B$38&gt;0,3=Assumptions!$B$38),24500,0))</f>
        <v>-0</v>
      </c>
      <c r="E10" s="18" t="n">
        <f aca="false">-(IF(4=Assumptions!$B$25,Assumptions!$B$35,0)+IF(AND(Assumptions!$B$37&gt;0,4=Assumptions!$B$37),13000,0)+IF(AND(Assumptions!$B$38&gt;0,4=Assumptions!$B$38),24500,0))</f>
        <v>-0</v>
      </c>
      <c r="F10" s="18" t="n">
        <f aca="false">-(IF(5=Assumptions!$B$25,Assumptions!$B$35,0)+IF(AND(Assumptions!$B$37&gt;0,5=Assumptions!$B$37),13000,0)+IF(AND(Assumptions!$B$38&gt;0,5=Assumptions!$B$38),24500,0))</f>
        <v>-0</v>
      </c>
      <c r="G10" s="18" t="n">
        <f aca="false">-(IF(6=Assumptions!$B$25,Assumptions!$B$35,0)+IF(AND(Assumptions!$B$37&gt;0,6=Assumptions!$B$37),13000,0)+IF(AND(Assumptions!$B$38&gt;0,6=Assumptions!$B$38),24500,0))</f>
        <v>-0</v>
      </c>
      <c r="H10" s="18" t="n">
        <f aca="false">-(IF(7=Assumptions!$B$25,Assumptions!$B$35,0)+IF(AND(Assumptions!$B$37&gt;0,7=Assumptions!$B$37),13000,0)+IF(AND(Assumptions!$B$38&gt;0,7=Assumptions!$B$38),24500,0))</f>
        <v>-0</v>
      </c>
      <c r="I10" s="18" t="n">
        <f aca="false">-(IF(8=Assumptions!$B$25,Assumptions!$B$35,0)+IF(AND(Assumptions!$B$37&gt;0,8=Assumptions!$B$37),13000,0)+IF(AND(Assumptions!$B$38&gt;0,8=Assumptions!$B$38),24500,0))</f>
        <v>-0</v>
      </c>
      <c r="J10" s="18" t="n">
        <f aca="false">-(IF(9=Assumptions!$B$25,Assumptions!$B$35,0)+IF(AND(Assumptions!$B$37&gt;0,9=Assumptions!$B$37),13000,0)+IF(AND(Assumptions!$B$38&gt;0,9=Assumptions!$B$38),24500,0))</f>
        <v>-0</v>
      </c>
      <c r="K10" s="18" t="n">
        <f aca="false">-(IF(10=Assumptions!$B$25,Assumptions!$B$35,0)+IF(AND(Assumptions!$B$37&gt;0,10=Assumptions!$B$37),13000,0)+IF(AND(Assumptions!$B$38&gt;0,10=Assumptions!$B$38),24500,0))</f>
        <v>-0</v>
      </c>
      <c r="L10" s="18" t="n">
        <f aca="false">-(IF(11=Assumptions!$B$25,Assumptions!$B$35,0)+IF(AND(Assumptions!$B$37&gt;0,11=Assumptions!$B$37),13000,0)+IF(AND(Assumptions!$B$38&gt;0,11=Assumptions!$B$38),24500,0))</f>
        <v>-0</v>
      </c>
      <c r="M10" s="18" t="n">
        <f aca="false">-(IF(12=Assumptions!$B$25,Assumptions!$B$35,0)+IF(AND(Assumptions!$B$37&gt;0,12=Assumptions!$B$37),13000,0)+IF(AND(Assumptions!$B$38&gt;0,12=Assumptions!$B$38),24500,0))</f>
        <v>-0</v>
      </c>
    </row>
    <row r="11" customFormat="false" ht="15" hidden="false" customHeight="true" outlineLevel="0" collapsed="false">
      <c r="A11" s="24" t="s">
        <v>265</v>
      </c>
      <c r="B11" s="25" t="n">
        <f aca="false">SUM(B6:B10)</f>
        <v>3064.02850766667</v>
      </c>
      <c r="C11" s="25" t="n">
        <f aca="false">SUM(C6:C10)</f>
        <v>33964.0285076667</v>
      </c>
      <c r="D11" s="25" t="n">
        <f aca="false">SUM(D6:D10)</f>
        <v>4697.02850766667</v>
      </c>
      <c r="E11" s="25" t="n">
        <f aca="false">SUM(E6:E10)</f>
        <v>4697.02850766667</v>
      </c>
      <c r="F11" s="25" t="n">
        <f aca="false">SUM(F6:F10)</f>
        <v>4697.02850766667</v>
      </c>
      <c r="G11" s="25" t="n">
        <f aca="false">SUM(G6:G10)</f>
        <v>4697.02850766667</v>
      </c>
      <c r="H11" s="25" t="n">
        <f aca="false">SUM(H6:H10)</f>
        <v>4697.02850766667</v>
      </c>
      <c r="I11" s="25" t="n">
        <f aca="false">SUM(I6:I10)</f>
        <v>4697.02850766667</v>
      </c>
      <c r="J11" s="25" t="n">
        <f aca="false">SUM(J6:J10)</f>
        <v>4697.02850766667</v>
      </c>
      <c r="K11" s="25" t="n">
        <f aca="false">SUM(K6:K10)</f>
        <v>4697.02850766667</v>
      </c>
      <c r="L11" s="25" t="n">
        <f aca="false">SUM(L6:L10)</f>
        <v>4697.02850766667</v>
      </c>
      <c r="M11" s="25" t="n">
        <f aca="false">SUM(M6:M10)</f>
        <v>4697.02850766667</v>
      </c>
    </row>
    <row r="12" customFormat="false" ht="15" hidden="false" customHeight="true" outlineLevel="0" collapsed="false">
      <c r="A12" s="24" t="s">
        <v>266</v>
      </c>
      <c r="B12" s="19" t="n">
        <f aca="false">B5+B11</f>
        <v>14064.0285076667</v>
      </c>
      <c r="C12" s="19" t="n">
        <f aca="false">C5+C11</f>
        <v>48028.0570153333</v>
      </c>
      <c r="D12" s="19" t="n">
        <f aca="false">D5+D11</f>
        <v>52725.085523</v>
      </c>
      <c r="E12" s="19" t="n">
        <f aca="false">E5+E11</f>
        <v>57422.1140306667</v>
      </c>
      <c r="F12" s="19" t="n">
        <f aca="false">F5+F11</f>
        <v>62119.1425383334</v>
      </c>
      <c r="G12" s="19" t="n">
        <f aca="false">G5+G11</f>
        <v>66816.171046</v>
      </c>
      <c r="H12" s="19" t="n">
        <f aca="false">H5+H11</f>
        <v>71513.1995536667</v>
      </c>
      <c r="I12" s="19" t="n">
        <f aca="false">I5+I11</f>
        <v>76210.2280613333</v>
      </c>
      <c r="J12" s="19" t="n">
        <f aca="false">J5+J11</f>
        <v>80907.256569</v>
      </c>
      <c r="K12" s="19" t="n">
        <f aca="false">K5+K11</f>
        <v>85604.2850766667</v>
      </c>
      <c r="L12" s="19" t="n">
        <f aca="false">L5+L11</f>
        <v>90301.3135843333</v>
      </c>
      <c r="M12" s="19" t="n">
        <f aca="false">M5+M11</f>
        <v>94998.342092</v>
      </c>
    </row>
    <row r="14" customFormat="false" ht="15" hidden="false" customHeight="true" outlineLevel="0" collapsed="false">
      <c r="A14" s="4" t="s">
        <v>267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5" hidden="false" customHeight="true" outlineLevel="0" collapsed="false">
      <c r="A15" s="27" t="s">
        <v>268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customFormat="false" ht="15" hidden="false" customHeight="true" outlineLevel="0" collapsed="false">
      <c r="A16" s="27" t="s">
        <v>269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customFormat="false" ht="15" hidden="false" customHeight="true" outlineLevel="0" collapsed="false">
      <c r="A17" s="27" t="s">
        <v>270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customFormat="false" ht="15" hidden="false" customHeight="true" outlineLevel="0" collapsed="false">
      <c r="A18" s="27" t="s">
        <v>271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</sheetData>
  <mergeCells count="7">
    <mergeCell ref="A1:O1"/>
    <mergeCell ref="A2:O2"/>
    <mergeCell ref="A14:M14"/>
    <mergeCell ref="A15:M15"/>
    <mergeCell ref="A16:M16"/>
    <mergeCell ref="A17:M17"/>
    <mergeCell ref="A18:M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272</v>
      </c>
      <c r="B1" s="2"/>
      <c r="C1" s="2"/>
      <c r="D1" s="2"/>
      <c r="E1" s="2"/>
    </row>
    <row r="3" customFormat="false" ht="15" hidden="false" customHeight="true" outlineLevel="0" collapsed="false">
      <c r="A3" s="4" t="s">
        <v>273</v>
      </c>
      <c r="B3" s="4"/>
      <c r="C3" s="4"/>
      <c r="D3" s="4"/>
      <c r="E3" s="4"/>
    </row>
    <row r="4" customFormat="false" ht="15" hidden="false" customHeight="true" outlineLevel="0" collapsed="false">
      <c r="A4" s="17" t="s">
        <v>274</v>
      </c>
      <c r="B4" s="17" t="s">
        <v>275</v>
      </c>
      <c r="C4" s="17" t="s">
        <v>276</v>
      </c>
      <c r="D4" s="17" t="s">
        <v>277</v>
      </c>
      <c r="E4" s="17" t="s">
        <v>278</v>
      </c>
    </row>
    <row r="5" customFormat="false" ht="15" hidden="false" customHeight="true" outlineLevel="0" collapsed="false">
      <c r="A5" s="1" t="s">
        <v>279</v>
      </c>
      <c r="B5" s="38" t="n">
        <v>16000</v>
      </c>
      <c r="C5" s="38" t="n">
        <v>400</v>
      </c>
      <c r="D5" s="1" t="s">
        <v>280</v>
      </c>
      <c r="E5" s="1" t="s">
        <v>281</v>
      </c>
    </row>
    <row r="6" customFormat="false" ht="15" hidden="false" customHeight="true" outlineLevel="0" collapsed="false">
      <c r="A6" s="1" t="s">
        <v>282</v>
      </c>
      <c r="B6" s="38" t="n">
        <v>24500</v>
      </c>
      <c r="C6" s="38" t="n">
        <v>499</v>
      </c>
      <c r="D6" s="1" t="s">
        <v>283</v>
      </c>
      <c r="E6" s="1" t="s">
        <v>284</v>
      </c>
    </row>
    <row r="7" customFormat="false" ht="15" hidden="false" customHeight="true" outlineLevel="0" collapsed="false">
      <c r="A7" s="1" t="s">
        <v>285</v>
      </c>
      <c r="B7" s="38" t="n">
        <v>13000</v>
      </c>
      <c r="C7" s="38" t="n">
        <v>334</v>
      </c>
      <c r="D7" s="1" t="s">
        <v>286</v>
      </c>
      <c r="E7" s="1" t="s">
        <v>287</v>
      </c>
    </row>
    <row r="8" customFormat="false" ht="15" hidden="false" customHeight="true" outlineLevel="0" collapsed="false">
      <c r="A8" s="1" t="s">
        <v>227</v>
      </c>
      <c r="B8" s="38" t="n">
        <v>10000</v>
      </c>
      <c r="C8" s="38" t="n">
        <v>198</v>
      </c>
      <c r="D8" s="1" t="s">
        <v>288</v>
      </c>
      <c r="E8" s="1" t="s">
        <v>289</v>
      </c>
    </row>
    <row r="9" customFormat="false" ht="15" hidden="false" customHeight="true" outlineLevel="0" collapsed="false">
      <c r="A9" s="1" t="s">
        <v>290</v>
      </c>
      <c r="B9" s="38" t="n">
        <v>4500</v>
      </c>
      <c r="C9" s="38" t="n">
        <v>0</v>
      </c>
      <c r="D9" s="1" t="s">
        <v>291</v>
      </c>
      <c r="E9" s="1" t="s">
        <v>292</v>
      </c>
    </row>
    <row r="10" customFormat="false" ht="15" hidden="false" customHeight="true" outlineLevel="0" collapsed="false">
      <c r="A10" s="24" t="s">
        <v>293</v>
      </c>
      <c r="B10" s="39" t="n">
        <f aca="false">SUM(B5:B9)</f>
        <v>68000</v>
      </c>
      <c r="C10" s="39" t="n">
        <f aca="false">SUM(C5:C9)</f>
        <v>1431</v>
      </c>
    </row>
    <row r="12" customFormat="false" ht="15" hidden="false" customHeight="true" outlineLevel="0" collapsed="false">
      <c r="A12" s="4" t="s">
        <v>294</v>
      </c>
      <c r="B12" s="4"/>
      <c r="C12" s="4"/>
      <c r="D12" s="4"/>
      <c r="E12" s="4"/>
    </row>
    <row r="13" customFormat="false" ht="15" hidden="false" customHeight="true" outlineLevel="0" collapsed="false">
      <c r="A13" s="17" t="s">
        <v>295</v>
      </c>
      <c r="B13" s="17" t="s">
        <v>296</v>
      </c>
      <c r="C13" s="17" t="s">
        <v>297</v>
      </c>
    </row>
    <row r="14" customFormat="false" ht="15" hidden="false" customHeight="true" outlineLevel="0" collapsed="false">
      <c r="A14" s="1" t="s">
        <v>298</v>
      </c>
      <c r="B14" s="18" t="n">
        <v>106000</v>
      </c>
      <c r="C14" s="18" t="n">
        <v>106000</v>
      </c>
    </row>
    <row r="15" customFormat="false" ht="15" hidden="false" customHeight="true" outlineLevel="0" collapsed="false">
      <c r="A15" s="1" t="s">
        <v>299</v>
      </c>
      <c r="B15" s="18" t="n">
        <v>-16000</v>
      </c>
      <c r="C15" s="18" t="n">
        <f aca="false">C14+B15</f>
        <v>90000</v>
      </c>
    </row>
    <row r="16" customFormat="false" ht="15" hidden="false" customHeight="true" outlineLevel="0" collapsed="false">
      <c r="A16" s="1" t="s">
        <v>300</v>
      </c>
      <c r="B16" s="18" t="n">
        <v>-5000</v>
      </c>
      <c r="C16" s="18" t="n">
        <f aca="false">C15+B16</f>
        <v>85000</v>
      </c>
    </row>
    <row r="17" customFormat="false" ht="15" hidden="false" customHeight="true" outlineLevel="0" collapsed="false">
      <c r="A17" s="1" t="s">
        <v>301</v>
      </c>
      <c r="B17" s="18" t="n">
        <v>-6400</v>
      </c>
      <c r="C17" s="18" t="n">
        <f aca="false">C16+B17</f>
        <v>78600</v>
      </c>
    </row>
    <row r="18" customFormat="false" ht="15" hidden="false" customHeight="true" outlineLevel="0" collapsed="false">
      <c r="A18" s="1" t="s">
        <v>302</v>
      </c>
      <c r="B18" s="18" t="n">
        <v>-24500</v>
      </c>
      <c r="C18" s="18" t="n">
        <f aca="false">C17+B18</f>
        <v>54100</v>
      </c>
    </row>
    <row r="19" customFormat="false" ht="15" hidden="false" customHeight="true" outlineLevel="0" collapsed="false">
      <c r="A19" s="1" t="s">
        <v>303</v>
      </c>
      <c r="B19" s="18" t="n">
        <v>-13000</v>
      </c>
      <c r="C19" s="18" t="n">
        <f aca="false">C18+B19</f>
        <v>41100</v>
      </c>
    </row>
    <row r="20" customFormat="false" ht="15" hidden="false" customHeight="true" outlineLevel="0" collapsed="false">
      <c r="A20" s="24" t="s">
        <v>304</v>
      </c>
      <c r="B20" s="25" t="n">
        <f aca="false">C19</f>
        <v>41100</v>
      </c>
      <c r="C20" s="19" t="n">
        <f aca="false">C19</f>
        <v>41100</v>
      </c>
    </row>
    <row r="22" customFormat="false" ht="15" hidden="false" customHeight="true" outlineLevel="0" collapsed="false">
      <c r="A22" s="4" t="s">
        <v>305</v>
      </c>
      <c r="B22" s="4"/>
      <c r="C22" s="4"/>
      <c r="D22" s="4"/>
      <c r="E22" s="4"/>
    </row>
    <row r="23" customFormat="false" ht="15" hidden="false" customHeight="true" outlineLevel="0" collapsed="false">
      <c r="A23" s="27" t="s">
        <v>306</v>
      </c>
      <c r="B23" s="27"/>
      <c r="C23" s="27"/>
      <c r="D23" s="27"/>
      <c r="E23" s="27"/>
    </row>
    <row r="24" customFormat="false" ht="15" hidden="false" customHeight="true" outlineLevel="0" collapsed="false">
      <c r="A24" s="27" t="s">
        <v>307</v>
      </c>
      <c r="B24" s="27"/>
      <c r="C24" s="27"/>
      <c r="D24" s="27"/>
      <c r="E24" s="27"/>
    </row>
    <row r="25" customFormat="false" ht="15" hidden="false" customHeight="true" outlineLevel="0" collapsed="false">
      <c r="A25" s="27" t="s">
        <v>308</v>
      </c>
      <c r="B25" s="27"/>
      <c r="C25" s="27"/>
      <c r="D25" s="27"/>
      <c r="E25" s="27"/>
    </row>
    <row r="26" customFormat="false" ht="15" hidden="false" customHeight="true" outlineLevel="0" collapsed="false">
      <c r="A26" s="27" t="s">
        <v>309</v>
      </c>
      <c r="B26" s="27"/>
      <c r="C26" s="27"/>
      <c r="D26" s="27"/>
      <c r="E26" s="27"/>
    </row>
    <row r="27" customFormat="false" ht="15" hidden="false" customHeight="true" outlineLevel="0" collapsed="false">
      <c r="A27" s="27" t="s">
        <v>310</v>
      </c>
      <c r="B27" s="27"/>
      <c r="C27" s="27"/>
      <c r="D27" s="27"/>
      <c r="E27" s="27"/>
    </row>
    <row r="28" customFormat="false" ht="15" hidden="false" customHeight="true" outlineLevel="0" collapsed="false">
      <c r="A28" s="27" t="s">
        <v>311</v>
      </c>
      <c r="B28" s="27"/>
      <c r="C28" s="27"/>
      <c r="D28" s="27"/>
      <c r="E28" s="27"/>
    </row>
    <row r="30" customFormat="false" ht="15" hidden="false" customHeight="true" outlineLevel="0" collapsed="false">
      <c r="A30" s="4" t="s">
        <v>312</v>
      </c>
      <c r="B30" s="4"/>
      <c r="C30" s="4"/>
      <c r="D30" s="4"/>
      <c r="E30" s="4"/>
    </row>
    <row r="31" customFormat="false" ht="23.25" hidden="false" customHeight="true" outlineLevel="0" collapsed="false">
      <c r="A31" s="27" t="s">
        <v>313</v>
      </c>
      <c r="B31" s="27"/>
      <c r="C31" s="27"/>
      <c r="D31" s="27"/>
      <c r="E31" s="27"/>
    </row>
    <row r="32" customFormat="false" ht="23.25" hidden="false" customHeight="true" outlineLevel="0" collapsed="false">
      <c r="A32" s="27" t="s">
        <v>314</v>
      </c>
      <c r="B32" s="27"/>
      <c r="C32" s="27"/>
      <c r="D32" s="27"/>
      <c r="E32" s="27"/>
    </row>
    <row r="33" customFormat="false" ht="23.25" hidden="false" customHeight="true" outlineLevel="0" collapsed="false">
      <c r="A33" s="27" t="s">
        <v>315</v>
      </c>
      <c r="B33" s="27"/>
      <c r="C33" s="27"/>
      <c r="D33" s="27"/>
      <c r="E33" s="27"/>
    </row>
    <row r="34" customFormat="false" ht="15" hidden="false" customHeight="true" outlineLevel="0" collapsed="false">
      <c r="A34" s="27" t="s">
        <v>316</v>
      </c>
      <c r="B34" s="27"/>
      <c r="C34" s="27"/>
      <c r="D34" s="27"/>
      <c r="E34" s="27"/>
    </row>
    <row r="35" customFormat="false" ht="23.25" hidden="false" customHeight="true" outlineLevel="0" collapsed="false">
      <c r="A35" s="27" t="s">
        <v>317</v>
      </c>
      <c r="B35" s="27"/>
      <c r="C35" s="27"/>
      <c r="D35" s="27"/>
      <c r="E35" s="27"/>
    </row>
  </sheetData>
  <mergeCells count="16">
    <mergeCell ref="A1:E1"/>
    <mergeCell ref="A3:E3"/>
    <mergeCell ref="A12:E12"/>
    <mergeCell ref="A22:E22"/>
    <mergeCell ref="A23:E23"/>
    <mergeCell ref="A24:E24"/>
    <mergeCell ref="A25:E25"/>
    <mergeCell ref="A26:E26"/>
    <mergeCell ref="A27:E27"/>
    <mergeCell ref="A28:E28"/>
    <mergeCell ref="A30:E30"/>
    <mergeCell ref="A31:E31"/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7" min="2" style="0" width="9"/>
    <col collapsed="false" customWidth="true" hidden="false" outlineLevel="0" max="40" min="38" style="0" width="11"/>
    <col collapsed="false" customWidth="true" hidden="false" outlineLevel="0" max="42" min="42" style="0" width="28"/>
    <col collapsed="false" customWidth="true" hidden="false" outlineLevel="0" max="45" min="43" style="0" width="12"/>
  </cols>
  <sheetData>
    <row r="1" customFormat="false" ht="17.35" hidden="false" customHeight="false" outlineLevel="0" collapsed="false">
      <c r="A1" s="40" t="s">
        <v>318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customFormat="false" ht="15" hidden="false" customHeight="false" outlineLevel="0" collapsed="false">
      <c r="A2" s="41" t="s">
        <v>319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</row>
    <row r="4" customFormat="false" ht="15" hidden="false" customHeight="false" outlineLevel="0" collapsed="false">
      <c r="A4" s="42" t="s">
        <v>320</v>
      </c>
      <c r="B4" s="30" t="s">
        <v>101</v>
      </c>
      <c r="C4" s="30" t="s">
        <v>102</v>
      </c>
      <c r="D4" s="30" t="s">
        <v>103</v>
      </c>
      <c r="E4" s="30" t="s">
        <v>104</v>
      </c>
      <c r="F4" s="30" t="s">
        <v>105</v>
      </c>
      <c r="G4" s="30" t="s">
        <v>106</v>
      </c>
      <c r="H4" s="30" t="s">
        <v>107</v>
      </c>
      <c r="I4" s="30" t="s">
        <v>108</v>
      </c>
      <c r="J4" s="30" t="s">
        <v>109</v>
      </c>
      <c r="K4" s="30" t="s">
        <v>110</v>
      </c>
      <c r="L4" s="30" t="s">
        <v>111</v>
      </c>
      <c r="M4" s="30" t="s">
        <v>112</v>
      </c>
      <c r="N4" s="30" t="s">
        <v>321</v>
      </c>
      <c r="O4" s="30" t="s">
        <v>322</v>
      </c>
      <c r="P4" s="30" t="s">
        <v>323</v>
      </c>
      <c r="Q4" s="30" t="s">
        <v>324</v>
      </c>
      <c r="R4" s="30" t="s">
        <v>325</v>
      </c>
      <c r="S4" s="30" t="s">
        <v>326</v>
      </c>
      <c r="T4" s="30" t="s">
        <v>327</v>
      </c>
      <c r="U4" s="30" t="s">
        <v>328</v>
      </c>
      <c r="V4" s="30" t="s">
        <v>329</v>
      </c>
      <c r="W4" s="30" t="s">
        <v>330</v>
      </c>
      <c r="X4" s="30" t="s">
        <v>331</v>
      </c>
      <c r="Y4" s="30" t="s">
        <v>332</v>
      </c>
      <c r="Z4" s="30" t="s">
        <v>333</v>
      </c>
      <c r="AA4" s="30" t="s">
        <v>334</v>
      </c>
      <c r="AB4" s="30" t="s">
        <v>335</v>
      </c>
      <c r="AC4" s="30" t="s">
        <v>336</v>
      </c>
      <c r="AD4" s="30" t="s">
        <v>337</v>
      </c>
      <c r="AE4" s="30" t="s">
        <v>338</v>
      </c>
      <c r="AF4" s="30" t="s">
        <v>339</v>
      </c>
      <c r="AG4" s="30" t="s">
        <v>340</v>
      </c>
      <c r="AH4" s="30" t="s">
        <v>341</v>
      </c>
      <c r="AI4" s="30" t="s">
        <v>342</v>
      </c>
      <c r="AJ4" s="30" t="s">
        <v>343</v>
      </c>
      <c r="AK4" s="30" t="s">
        <v>344</v>
      </c>
      <c r="AL4" s="30" t="s">
        <v>345</v>
      </c>
      <c r="AM4" s="30" t="s">
        <v>346</v>
      </c>
      <c r="AN4" s="30" t="s">
        <v>347</v>
      </c>
      <c r="AP4" s="43" t="s">
        <v>348</v>
      </c>
      <c r="AQ4" s="43"/>
      <c r="AR4" s="43"/>
      <c r="AS4" s="43"/>
    </row>
    <row r="5" customFormat="false" ht="15" hidden="false" customHeight="false" outlineLevel="0" collapsed="false">
      <c r="A5" s="0" t="s">
        <v>116</v>
      </c>
      <c r="B5" s="44" t="n">
        <v>8000</v>
      </c>
      <c r="C5" s="44" t="n">
        <v>8000</v>
      </c>
      <c r="D5" s="44" t="n">
        <v>8000</v>
      </c>
      <c r="E5" s="44" t="n">
        <v>8000</v>
      </c>
      <c r="F5" s="44" t="n">
        <v>8000</v>
      </c>
      <c r="G5" s="44" t="n">
        <v>8000</v>
      </c>
      <c r="H5" s="44" t="n">
        <v>8000</v>
      </c>
      <c r="I5" s="44" t="n">
        <v>8000</v>
      </c>
      <c r="J5" s="44" t="n">
        <v>8000</v>
      </c>
      <c r="K5" s="44" t="n">
        <v>8000</v>
      </c>
      <c r="L5" s="44" t="n">
        <v>8000</v>
      </c>
      <c r="M5" s="44" t="n">
        <v>8000</v>
      </c>
      <c r="N5" s="44" t="n">
        <v>0</v>
      </c>
      <c r="O5" s="44" t="n">
        <v>0</v>
      </c>
      <c r="P5" s="44" t="n">
        <v>0</v>
      </c>
      <c r="Q5" s="44" t="n">
        <v>0</v>
      </c>
      <c r="R5" s="44" t="n">
        <v>0</v>
      </c>
      <c r="S5" s="44" t="n">
        <v>0</v>
      </c>
      <c r="T5" s="44" t="n">
        <v>0</v>
      </c>
      <c r="U5" s="44" t="n">
        <v>0</v>
      </c>
      <c r="V5" s="44" t="n">
        <v>0</v>
      </c>
      <c r="W5" s="44" t="n">
        <v>0</v>
      </c>
      <c r="X5" s="44" t="n">
        <v>0</v>
      </c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44" t="n">
        <v>0</v>
      </c>
      <c r="AJ5" s="44" t="n">
        <v>0</v>
      </c>
      <c r="AK5" s="44" t="n">
        <v>0</v>
      </c>
      <c r="AL5" s="44" t="n">
        <f aca="false">SUM(B5:M5)</f>
        <v>96000</v>
      </c>
      <c r="AM5" s="44" t="n">
        <f aca="false">SUM(N5:Y5)</f>
        <v>0</v>
      </c>
      <c r="AN5" s="44" t="n">
        <f aca="false">SUM(Z5:AK5)</f>
        <v>0</v>
      </c>
      <c r="AP5" s="42" t="s">
        <v>156</v>
      </c>
      <c r="AQ5" s="42" t="s">
        <v>349</v>
      </c>
      <c r="AR5" s="42" t="s">
        <v>350</v>
      </c>
      <c r="AS5" s="42" t="s">
        <v>351</v>
      </c>
    </row>
    <row r="6" customFormat="false" ht="15" hidden="false" customHeight="false" outlineLevel="0" collapsed="false">
      <c r="A6" s="0" t="s">
        <v>352</v>
      </c>
      <c r="B6" s="44" t="n">
        <v>1500</v>
      </c>
      <c r="C6" s="44" t="n">
        <v>0</v>
      </c>
      <c r="D6" s="44" t="n">
        <v>0</v>
      </c>
      <c r="E6" s="44" t="n">
        <v>0</v>
      </c>
      <c r="F6" s="44" t="n">
        <v>0</v>
      </c>
      <c r="G6" s="44" t="n">
        <v>0</v>
      </c>
      <c r="H6" s="44" t="n">
        <v>0</v>
      </c>
      <c r="I6" s="44" t="n">
        <v>0</v>
      </c>
      <c r="J6" s="44" t="n">
        <v>0</v>
      </c>
      <c r="K6" s="44" t="n">
        <v>0</v>
      </c>
      <c r="L6" s="44" t="n">
        <v>0</v>
      </c>
      <c r="M6" s="44" t="n">
        <v>0</v>
      </c>
      <c r="N6" s="44" t="n">
        <v>0</v>
      </c>
      <c r="O6" s="44" t="n">
        <v>0</v>
      </c>
      <c r="P6" s="44" t="n">
        <v>0</v>
      </c>
      <c r="Q6" s="44" t="n">
        <v>0</v>
      </c>
      <c r="R6" s="44" t="n">
        <v>0</v>
      </c>
      <c r="S6" s="44" t="n">
        <v>0</v>
      </c>
      <c r="T6" s="44" t="n">
        <v>0</v>
      </c>
      <c r="U6" s="44" t="n">
        <v>0</v>
      </c>
      <c r="V6" s="44" t="n">
        <v>0</v>
      </c>
      <c r="W6" s="44" t="n">
        <v>0</v>
      </c>
      <c r="X6" s="44" t="n">
        <v>0</v>
      </c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44" t="n">
        <v>0</v>
      </c>
      <c r="AJ6" s="44" t="n">
        <v>0</v>
      </c>
      <c r="AK6" s="44" t="n">
        <v>0</v>
      </c>
      <c r="AL6" s="44" t="n">
        <f aca="false">SUM(B6:M6)</f>
        <v>1500</v>
      </c>
      <c r="AM6" s="44" t="n">
        <f aca="false">SUM(N6:Y6)</f>
        <v>0</v>
      </c>
      <c r="AN6" s="44" t="n">
        <f aca="false">SUM(Z6:AK6)</f>
        <v>0</v>
      </c>
      <c r="AP6" s="0" t="s">
        <v>116</v>
      </c>
      <c r="AQ6" s="44" t="n">
        <f aca="false">AL5</f>
        <v>96000</v>
      </c>
      <c r="AR6" s="44" t="n">
        <f aca="false">AM5</f>
        <v>0</v>
      </c>
      <c r="AS6" s="44" t="n">
        <f aca="false">AN5</f>
        <v>0</v>
      </c>
    </row>
    <row r="7" customFormat="false" ht="15" hidden="false" customHeight="false" outlineLevel="0" collapsed="false">
      <c r="A7" s="0" t="s">
        <v>353</v>
      </c>
      <c r="B7" s="44" t="n">
        <v>0</v>
      </c>
      <c r="C7" s="44" t="n">
        <v>3000</v>
      </c>
      <c r="D7" s="44" t="n">
        <v>3000</v>
      </c>
      <c r="E7" s="44" t="n">
        <v>3000</v>
      </c>
      <c r="F7" s="44" t="n">
        <v>3000</v>
      </c>
      <c r="G7" s="44" t="n">
        <v>3000</v>
      </c>
      <c r="H7" s="44" t="n">
        <v>3000</v>
      </c>
      <c r="I7" s="44" t="n">
        <v>3000</v>
      </c>
      <c r="J7" s="44" t="n">
        <v>3000</v>
      </c>
      <c r="K7" s="44" t="n">
        <v>3000</v>
      </c>
      <c r="L7" s="44" t="n">
        <v>3000</v>
      </c>
      <c r="M7" s="44" t="n">
        <v>3000</v>
      </c>
      <c r="N7" s="44" t="n">
        <v>3000</v>
      </c>
      <c r="O7" s="44" t="n">
        <v>3000</v>
      </c>
      <c r="P7" s="44" t="n">
        <v>3000</v>
      </c>
      <c r="Q7" s="44" t="n">
        <v>3000</v>
      </c>
      <c r="R7" s="44" t="n">
        <v>3000</v>
      </c>
      <c r="S7" s="44" t="n">
        <v>3000</v>
      </c>
      <c r="T7" s="44" t="n">
        <v>3000</v>
      </c>
      <c r="U7" s="44" t="n">
        <v>3000</v>
      </c>
      <c r="V7" s="44" t="n">
        <v>3000</v>
      </c>
      <c r="W7" s="44" t="n">
        <v>0</v>
      </c>
      <c r="X7" s="44" t="n">
        <v>0</v>
      </c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44" t="n">
        <v>0</v>
      </c>
      <c r="AJ7" s="44" t="n">
        <v>0</v>
      </c>
      <c r="AK7" s="44" t="n">
        <v>0</v>
      </c>
      <c r="AL7" s="44" t="n">
        <f aca="false">SUM(B7:M7)</f>
        <v>33000</v>
      </c>
      <c r="AM7" s="44" t="n">
        <f aca="false">SUM(N7:Y7)</f>
        <v>27000</v>
      </c>
      <c r="AN7" s="44" t="n">
        <f aca="false">SUM(Z7:AK7)</f>
        <v>0</v>
      </c>
      <c r="AP7" s="0" t="s">
        <v>168</v>
      </c>
      <c r="AQ7" s="44" t="n">
        <f aca="false">AL18-AL5</f>
        <v>98000</v>
      </c>
      <c r="AR7" s="44" t="n">
        <f aca="false">AM18-AM5</f>
        <v>169000</v>
      </c>
      <c r="AS7" s="44" t="n">
        <f aca="false">AN18-AN5</f>
        <v>195000</v>
      </c>
    </row>
    <row r="8" customFormat="false" ht="15" hidden="false" customHeight="false" outlineLevel="0" collapsed="false">
      <c r="A8" s="0" t="s">
        <v>354</v>
      </c>
      <c r="B8" s="44" t="n">
        <v>0</v>
      </c>
      <c r="C8" s="44" t="n">
        <v>0</v>
      </c>
      <c r="D8" s="44" t="n">
        <v>0</v>
      </c>
      <c r="E8" s="44" t="n">
        <v>3000</v>
      </c>
      <c r="F8" s="44" t="n">
        <v>3000</v>
      </c>
      <c r="G8" s="44" t="n">
        <v>3000</v>
      </c>
      <c r="H8" s="44" t="n">
        <v>3000</v>
      </c>
      <c r="I8" s="44" t="n">
        <v>3000</v>
      </c>
      <c r="J8" s="44" t="n">
        <v>3000</v>
      </c>
      <c r="K8" s="44" t="n">
        <v>3000</v>
      </c>
      <c r="L8" s="44" t="n">
        <v>3000</v>
      </c>
      <c r="M8" s="44" t="n">
        <v>3000</v>
      </c>
      <c r="N8" s="44" t="n">
        <v>3000</v>
      </c>
      <c r="O8" s="44" t="n">
        <v>3000</v>
      </c>
      <c r="P8" s="44" t="n">
        <v>3000</v>
      </c>
      <c r="Q8" s="44" t="n">
        <v>3000</v>
      </c>
      <c r="R8" s="44" t="n">
        <v>3000</v>
      </c>
      <c r="S8" s="44" t="n">
        <v>3000</v>
      </c>
      <c r="T8" s="44" t="n">
        <v>3000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  <c r="AK8" s="44" t="n">
        <v>0</v>
      </c>
      <c r="AL8" s="44" t="n">
        <f aca="false">SUM(B8:M8)</f>
        <v>27000</v>
      </c>
      <c r="AM8" s="44" t="n">
        <f aca="false">SUM(N8:Y8)</f>
        <v>21000</v>
      </c>
      <c r="AN8" s="44" t="n">
        <f aca="false">SUM(Z8:AK8)</f>
        <v>0</v>
      </c>
      <c r="AP8" s="0" t="s">
        <v>169</v>
      </c>
      <c r="AQ8" s="44" t="n">
        <f aca="false">AL18</f>
        <v>194000</v>
      </c>
      <c r="AR8" s="44" t="n">
        <f aca="false">AM18</f>
        <v>169000</v>
      </c>
      <c r="AS8" s="44" t="n">
        <f aca="false">AN18</f>
        <v>195000</v>
      </c>
    </row>
    <row r="9" customFormat="false" ht="15" hidden="false" customHeight="false" outlineLevel="0" collapsed="false">
      <c r="A9" s="0" t="s">
        <v>140</v>
      </c>
      <c r="B9" s="44" t="n">
        <v>2000</v>
      </c>
      <c r="C9" s="44" t="n">
        <v>2000</v>
      </c>
      <c r="D9" s="44" t="n">
        <v>2000</v>
      </c>
      <c r="E9" s="44" t="n">
        <v>2000</v>
      </c>
      <c r="F9" s="44" t="n">
        <v>2000</v>
      </c>
      <c r="G9" s="44" t="n">
        <v>2000</v>
      </c>
      <c r="H9" s="44" t="n">
        <v>2000</v>
      </c>
      <c r="I9" s="44" t="n">
        <v>2000</v>
      </c>
      <c r="J9" s="44" t="n">
        <v>2000</v>
      </c>
      <c r="K9" s="44" t="n">
        <v>2000</v>
      </c>
      <c r="L9" s="44" t="n">
        <v>2000</v>
      </c>
      <c r="M9" s="44" t="n">
        <v>2000</v>
      </c>
      <c r="N9" s="44" t="n">
        <v>2000</v>
      </c>
      <c r="O9" s="44" t="n">
        <v>2000</v>
      </c>
      <c r="P9" s="44" t="n">
        <v>2000</v>
      </c>
      <c r="Q9" s="44" t="n">
        <v>2000</v>
      </c>
      <c r="R9" s="44" t="n">
        <v>2000</v>
      </c>
      <c r="S9" s="44" t="n">
        <v>2000</v>
      </c>
      <c r="T9" s="44" t="n">
        <v>2000</v>
      </c>
      <c r="U9" s="44" t="n">
        <v>2000</v>
      </c>
      <c r="V9" s="44" t="n">
        <v>2000</v>
      </c>
      <c r="W9" s="44" t="n">
        <v>2000</v>
      </c>
      <c r="X9" s="44" t="n">
        <v>2000</v>
      </c>
      <c r="Y9" s="44" t="n">
        <v>2000</v>
      </c>
      <c r="Z9" s="44" t="n">
        <v>2000</v>
      </c>
      <c r="AA9" s="44" t="n">
        <v>2000</v>
      </c>
      <c r="AB9" s="44" t="n">
        <v>2000</v>
      </c>
      <c r="AC9" s="44" t="n">
        <v>2000</v>
      </c>
      <c r="AD9" s="44" t="n">
        <v>2000</v>
      </c>
      <c r="AE9" s="44" t="n">
        <v>2000</v>
      </c>
      <c r="AF9" s="44" t="n">
        <v>0</v>
      </c>
      <c r="AG9" s="44" t="n">
        <v>0</v>
      </c>
      <c r="AH9" s="44" t="n">
        <v>0</v>
      </c>
      <c r="AI9" s="44" t="n">
        <v>0</v>
      </c>
      <c r="AJ9" s="44" t="n">
        <v>0</v>
      </c>
      <c r="AK9" s="44" t="n">
        <v>0</v>
      </c>
      <c r="AL9" s="44" t="n">
        <f aca="false">SUM(B9:M9)</f>
        <v>24000</v>
      </c>
      <c r="AM9" s="44" t="n">
        <f aca="false">SUM(N9:Y9)</f>
        <v>24000</v>
      </c>
      <c r="AN9" s="44" t="n">
        <f aca="false">SUM(Z9:AK9)</f>
        <v>12000</v>
      </c>
      <c r="AP9" s="0" t="s">
        <v>355</v>
      </c>
      <c r="AQ9" s="44" t="n">
        <f aca="false">AL23</f>
        <v>-6312</v>
      </c>
      <c r="AR9" s="44" t="n">
        <f aca="false">AM23</f>
        <v>-9000</v>
      </c>
      <c r="AS9" s="44" t="n">
        <f aca="false">AN23</f>
        <v>-13200</v>
      </c>
    </row>
    <row r="10" customFormat="false" ht="15" hidden="false" customHeight="false" outlineLevel="0" collapsed="false">
      <c r="A10" s="0" t="s">
        <v>356</v>
      </c>
      <c r="B10" s="44" t="n">
        <v>0</v>
      </c>
      <c r="C10" s="44" t="n">
        <v>0</v>
      </c>
      <c r="D10" s="44" t="n">
        <v>0</v>
      </c>
      <c r="E10" s="44" t="n">
        <v>0</v>
      </c>
      <c r="F10" s="44" t="n">
        <v>0</v>
      </c>
      <c r="G10" s="44" t="n">
        <v>0</v>
      </c>
      <c r="H10" s="44" t="n">
        <v>0</v>
      </c>
      <c r="I10" s="44" t="n">
        <v>2500</v>
      </c>
      <c r="J10" s="44" t="n">
        <v>2500</v>
      </c>
      <c r="K10" s="44" t="n">
        <v>2500</v>
      </c>
      <c r="L10" s="44" t="n">
        <v>2500</v>
      </c>
      <c r="M10" s="44" t="n">
        <v>2500</v>
      </c>
      <c r="N10" s="44" t="n">
        <v>2500</v>
      </c>
      <c r="O10" s="44" t="n">
        <v>2500</v>
      </c>
      <c r="P10" s="44" t="n">
        <v>2500</v>
      </c>
      <c r="Q10" s="44" t="n">
        <v>2500</v>
      </c>
      <c r="R10" s="44" t="n">
        <v>2500</v>
      </c>
      <c r="S10" s="44" t="n">
        <v>2500</v>
      </c>
      <c r="T10" s="44" t="n">
        <v>2500</v>
      </c>
      <c r="U10" s="44" t="n">
        <v>2500</v>
      </c>
      <c r="V10" s="44" t="n">
        <v>2500</v>
      </c>
      <c r="W10" s="44" t="n">
        <v>2500</v>
      </c>
      <c r="X10" s="44" t="n">
        <v>2500</v>
      </c>
      <c r="Y10" s="44" t="n">
        <v>2500</v>
      </c>
      <c r="Z10" s="44" t="n">
        <v>2500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44" t="n">
        <v>0</v>
      </c>
      <c r="AJ10" s="44" t="n">
        <v>0</v>
      </c>
      <c r="AK10" s="44" t="n">
        <v>0</v>
      </c>
      <c r="AL10" s="44" t="n">
        <f aca="false">SUM(B10:M10)</f>
        <v>12500</v>
      </c>
      <c r="AM10" s="44" t="n">
        <f aca="false">SUM(N10:Y10)</f>
        <v>30000</v>
      </c>
      <c r="AN10" s="44" t="n">
        <f aca="false">SUM(Z10:AK10)</f>
        <v>2500</v>
      </c>
      <c r="AP10" s="45" t="s">
        <v>357</v>
      </c>
      <c r="AQ10" s="46" t="n">
        <f aca="false">AL24</f>
        <v>187688</v>
      </c>
      <c r="AR10" s="46" t="n">
        <f aca="false">AM24</f>
        <v>160000</v>
      </c>
      <c r="AS10" s="46" t="n">
        <f aca="false">AN24</f>
        <v>181800</v>
      </c>
    </row>
    <row r="11" customFormat="false" ht="15" hidden="false" customHeight="false" outlineLevel="0" collapsed="false">
      <c r="A11" s="0" t="s">
        <v>358</v>
      </c>
      <c r="B11" s="44" t="n">
        <v>0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  <c r="J11" s="44" t="n">
        <v>0</v>
      </c>
      <c r="K11" s="44" t="n">
        <v>0</v>
      </c>
      <c r="L11" s="44" t="n">
        <v>0</v>
      </c>
      <c r="M11" s="44" t="n">
        <v>0</v>
      </c>
      <c r="N11" s="44" t="n">
        <v>0</v>
      </c>
      <c r="O11" s="44" t="n">
        <v>3000</v>
      </c>
      <c r="P11" s="44" t="n">
        <v>3000</v>
      </c>
      <c r="Q11" s="44" t="n">
        <v>3000</v>
      </c>
      <c r="R11" s="44" t="n">
        <v>3000</v>
      </c>
      <c r="S11" s="44" t="n">
        <v>3000</v>
      </c>
      <c r="T11" s="44" t="n">
        <v>3000</v>
      </c>
      <c r="U11" s="44" t="n">
        <v>3000</v>
      </c>
      <c r="V11" s="44" t="n">
        <v>3000</v>
      </c>
      <c r="W11" s="44" t="n">
        <v>3000</v>
      </c>
      <c r="X11" s="44" t="n">
        <v>3000</v>
      </c>
      <c r="Y11" s="44" t="n">
        <v>3000</v>
      </c>
      <c r="Z11" s="44" t="n">
        <v>3000</v>
      </c>
      <c r="AA11" s="44" t="n">
        <v>3000</v>
      </c>
      <c r="AB11" s="44" t="n">
        <v>3000</v>
      </c>
      <c r="AC11" s="44" t="n">
        <v>3000</v>
      </c>
      <c r="AD11" s="44" t="n">
        <v>3000</v>
      </c>
      <c r="AE11" s="44" t="n">
        <v>3000</v>
      </c>
      <c r="AF11" s="44" t="n">
        <v>3000</v>
      </c>
      <c r="AG11" s="44" t="n">
        <v>0</v>
      </c>
      <c r="AH11" s="44" t="n">
        <v>0</v>
      </c>
      <c r="AI11" s="44" t="n">
        <v>0</v>
      </c>
      <c r="AJ11" s="44" t="n">
        <v>0</v>
      </c>
      <c r="AK11" s="44" t="n">
        <v>0</v>
      </c>
      <c r="AL11" s="44" t="n">
        <f aca="false">SUM(B11:M11)</f>
        <v>0</v>
      </c>
      <c r="AM11" s="44" t="n">
        <f aca="false">SUM(N11:Y11)</f>
        <v>33000</v>
      </c>
      <c r="AN11" s="44" t="n">
        <f aca="false">SUM(Z11:AK11)</f>
        <v>21000</v>
      </c>
      <c r="AP11" s="0" t="s">
        <v>359</v>
      </c>
      <c r="AQ11" s="0" t="s">
        <v>360</v>
      </c>
      <c r="AR11" s="47" t="n">
        <f aca="false">AM24/AL24-1</f>
        <v>-0.14752141852436</v>
      </c>
      <c r="AS11" s="47" t="n">
        <f aca="false">AN24/AM24-1</f>
        <v>0.13625</v>
      </c>
    </row>
    <row r="12" customFormat="false" ht="15" hidden="false" customHeight="false" outlineLevel="0" collapsed="false">
      <c r="A12" s="0" t="s">
        <v>361</v>
      </c>
      <c r="B12" s="44" t="n">
        <v>0</v>
      </c>
      <c r="C12" s="44" t="n">
        <v>0</v>
      </c>
      <c r="D12" s="44" t="n">
        <v>0</v>
      </c>
      <c r="E12" s="44" t="n">
        <v>0</v>
      </c>
      <c r="F12" s="44" t="n">
        <v>0</v>
      </c>
      <c r="G12" s="44" t="n">
        <v>0</v>
      </c>
      <c r="H12" s="44" t="n">
        <v>0</v>
      </c>
      <c r="I12" s="44" t="n">
        <v>0</v>
      </c>
      <c r="J12" s="44" t="n">
        <v>0</v>
      </c>
      <c r="K12" s="44" t="n">
        <v>0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0</v>
      </c>
      <c r="Q12" s="44" t="n">
        <v>0</v>
      </c>
      <c r="R12" s="44" t="n">
        <v>0</v>
      </c>
      <c r="S12" s="44" t="n">
        <v>3000</v>
      </c>
      <c r="T12" s="44" t="n">
        <v>3000</v>
      </c>
      <c r="U12" s="44" t="n">
        <v>3000</v>
      </c>
      <c r="V12" s="44" t="n">
        <v>3000</v>
      </c>
      <c r="W12" s="44" t="n">
        <v>3000</v>
      </c>
      <c r="X12" s="44" t="n">
        <v>3000</v>
      </c>
      <c r="Y12" s="44" t="n">
        <v>3000</v>
      </c>
      <c r="Z12" s="44" t="n">
        <v>3000</v>
      </c>
      <c r="AA12" s="44" t="n">
        <v>3000</v>
      </c>
      <c r="AB12" s="44" t="n">
        <v>3000</v>
      </c>
      <c r="AC12" s="44" t="n">
        <v>3000</v>
      </c>
      <c r="AD12" s="44" t="n">
        <v>3000</v>
      </c>
      <c r="AE12" s="44" t="n">
        <v>3000</v>
      </c>
      <c r="AF12" s="44" t="n">
        <v>3000</v>
      </c>
      <c r="AG12" s="44" t="n">
        <v>3000</v>
      </c>
      <c r="AH12" s="44" t="n">
        <v>3000</v>
      </c>
      <c r="AI12" s="44" t="n">
        <v>3000</v>
      </c>
      <c r="AJ12" s="44" t="n">
        <v>3000</v>
      </c>
      <c r="AK12" s="44" t="n">
        <v>3000</v>
      </c>
      <c r="AL12" s="44" t="n">
        <f aca="false">SUM(B12:M12)</f>
        <v>0</v>
      </c>
      <c r="AM12" s="44" t="n">
        <f aca="false">SUM(N12:Y12)</f>
        <v>21000</v>
      </c>
      <c r="AN12" s="44" t="n">
        <f aca="false">SUM(Z12:AK12)</f>
        <v>36000</v>
      </c>
      <c r="AP12" s="0" t="s">
        <v>362</v>
      </c>
      <c r="AQ12" s="48" t="n">
        <f aca="false">M20</f>
        <v>3</v>
      </c>
      <c r="AR12" s="48" t="n">
        <f aca="false">Y20</f>
        <v>5</v>
      </c>
      <c r="AS12" s="48" t="n">
        <f aca="false">AK20</f>
        <v>5</v>
      </c>
    </row>
    <row r="13" customFormat="false" ht="15" hidden="false" customHeight="false" outlineLevel="0" collapsed="false">
      <c r="A13" s="0" t="s">
        <v>363</v>
      </c>
      <c r="B13" s="44" t="n">
        <v>0</v>
      </c>
      <c r="C13" s="44" t="n">
        <v>0</v>
      </c>
      <c r="D13" s="44" t="n">
        <v>0</v>
      </c>
      <c r="E13" s="44" t="n">
        <v>0</v>
      </c>
      <c r="F13" s="44" t="n">
        <v>0</v>
      </c>
      <c r="G13" s="44" t="n">
        <v>0</v>
      </c>
      <c r="H13" s="44" t="n">
        <v>0</v>
      </c>
      <c r="I13" s="44" t="n">
        <v>0</v>
      </c>
      <c r="J13" s="44" t="n">
        <v>0</v>
      </c>
      <c r="K13" s="44" t="n">
        <v>0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0</v>
      </c>
      <c r="Q13" s="44" t="n">
        <v>0</v>
      </c>
      <c r="R13" s="44" t="n">
        <v>0</v>
      </c>
      <c r="S13" s="44" t="n">
        <v>0</v>
      </c>
      <c r="T13" s="44" t="n">
        <v>0</v>
      </c>
      <c r="U13" s="44" t="n">
        <v>0</v>
      </c>
      <c r="V13" s="44" t="n">
        <v>0</v>
      </c>
      <c r="W13" s="44" t="n">
        <v>3500</v>
      </c>
      <c r="X13" s="44" t="n">
        <v>3500</v>
      </c>
      <c r="Y13" s="44" t="n">
        <v>3500</v>
      </c>
      <c r="Z13" s="44" t="n">
        <v>3500</v>
      </c>
      <c r="AA13" s="44" t="n">
        <v>3500</v>
      </c>
      <c r="AB13" s="44" t="n">
        <v>3500</v>
      </c>
      <c r="AC13" s="44" t="n">
        <v>3500</v>
      </c>
      <c r="AD13" s="44" t="n">
        <v>3500</v>
      </c>
      <c r="AE13" s="44" t="n">
        <v>3500</v>
      </c>
      <c r="AF13" s="44" t="n">
        <v>3500</v>
      </c>
      <c r="AG13" s="44" t="n">
        <v>3500</v>
      </c>
      <c r="AH13" s="44" t="n">
        <v>3500</v>
      </c>
      <c r="AI13" s="44" t="n">
        <v>3500</v>
      </c>
      <c r="AJ13" s="44" t="n">
        <v>3500</v>
      </c>
      <c r="AK13" s="44" t="n">
        <v>3500</v>
      </c>
      <c r="AL13" s="44" t="n">
        <f aca="false">SUM(B13:M13)</f>
        <v>0</v>
      </c>
      <c r="AM13" s="44" t="n">
        <f aca="false">SUM(N13:Y13)</f>
        <v>10500</v>
      </c>
      <c r="AN13" s="44" t="n">
        <f aca="false">SUM(Z13:AK13)</f>
        <v>42000</v>
      </c>
      <c r="AP13" s="0" t="s">
        <v>364</v>
      </c>
      <c r="AQ13" s="49" t="n">
        <f aca="false">AVERAGE(B20:M20)</f>
        <v>2.08333333333333</v>
      </c>
      <c r="AR13" s="49" t="n">
        <f aca="false">AVERAGE(N20:Y20)</f>
        <v>4.16666666666667</v>
      </c>
      <c r="AS13" s="49" t="n">
        <f aca="false">AVERAGE(Z20:AK20)</f>
        <v>4.83333333333333</v>
      </c>
    </row>
    <row r="14" customFormat="false" ht="15" hidden="false" customHeight="false" outlineLevel="0" collapsed="false">
      <c r="A14" s="0" t="s">
        <v>365</v>
      </c>
      <c r="B14" s="44" t="n">
        <v>0</v>
      </c>
      <c r="C14" s="44" t="n">
        <v>0</v>
      </c>
      <c r="D14" s="44" t="n">
        <v>0</v>
      </c>
      <c r="E14" s="44" t="n">
        <v>0</v>
      </c>
      <c r="F14" s="44" t="n">
        <v>0</v>
      </c>
      <c r="G14" s="44" t="n">
        <v>0</v>
      </c>
      <c r="H14" s="44" t="n">
        <v>0</v>
      </c>
      <c r="I14" s="44" t="n">
        <v>0</v>
      </c>
      <c r="J14" s="44" t="n">
        <v>0</v>
      </c>
      <c r="K14" s="44" t="n">
        <v>0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0</v>
      </c>
      <c r="Q14" s="44" t="n">
        <v>0</v>
      </c>
      <c r="R14" s="44" t="n">
        <v>0</v>
      </c>
      <c r="S14" s="44" t="n">
        <v>0</v>
      </c>
      <c r="T14" s="44" t="n">
        <v>0</v>
      </c>
      <c r="U14" s="44" t="n">
        <v>0</v>
      </c>
      <c r="V14" s="44" t="n">
        <v>0</v>
      </c>
      <c r="W14" s="44" t="n">
        <v>0</v>
      </c>
      <c r="X14" s="44" t="n">
        <v>0</v>
      </c>
      <c r="Y14" s="44" t="n">
        <v>2500</v>
      </c>
      <c r="Z14" s="44" t="n">
        <v>2500</v>
      </c>
      <c r="AA14" s="44" t="n">
        <v>2500</v>
      </c>
      <c r="AB14" s="44" t="n">
        <v>2500</v>
      </c>
      <c r="AC14" s="44" t="n">
        <v>2500</v>
      </c>
      <c r="AD14" s="44" t="n">
        <v>2500</v>
      </c>
      <c r="AE14" s="44" t="n">
        <v>2500</v>
      </c>
      <c r="AF14" s="44" t="n">
        <v>2500</v>
      </c>
      <c r="AG14" s="44" t="n">
        <v>2500</v>
      </c>
      <c r="AH14" s="44" t="n">
        <v>2500</v>
      </c>
      <c r="AI14" s="44" t="n">
        <v>2500</v>
      </c>
      <c r="AJ14" s="44" t="n">
        <v>2500</v>
      </c>
      <c r="AK14" s="44" t="n">
        <v>2500</v>
      </c>
      <c r="AL14" s="44" t="n">
        <f aca="false">SUM(B14:M14)</f>
        <v>0</v>
      </c>
      <c r="AM14" s="44" t="n">
        <f aca="false">SUM(N14:Y14)</f>
        <v>2500</v>
      </c>
      <c r="AN14" s="44" t="n">
        <f aca="false">SUM(Z14:AK14)</f>
        <v>30000</v>
      </c>
    </row>
    <row r="15" customFormat="false" ht="15" hidden="false" customHeight="false" outlineLevel="0" collapsed="false">
      <c r="A15" s="0" t="s">
        <v>366</v>
      </c>
      <c r="B15" s="44" t="n">
        <v>0</v>
      </c>
      <c r="C15" s="44" t="n">
        <v>0</v>
      </c>
      <c r="D15" s="44" t="n">
        <v>0</v>
      </c>
      <c r="E15" s="44" t="n">
        <v>0</v>
      </c>
      <c r="F15" s="44" t="n">
        <v>0</v>
      </c>
      <c r="G15" s="44" t="n">
        <v>0</v>
      </c>
      <c r="H15" s="44" t="n">
        <v>0</v>
      </c>
      <c r="I15" s="44" t="n">
        <v>0</v>
      </c>
      <c r="J15" s="44" t="n">
        <v>0</v>
      </c>
      <c r="K15" s="44" t="n">
        <v>0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0</v>
      </c>
      <c r="Q15" s="44" t="n">
        <v>0</v>
      </c>
      <c r="R15" s="44" t="n">
        <v>0</v>
      </c>
      <c r="S15" s="44" t="n">
        <v>0</v>
      </c>
      <c r="T15" s="44" t="n">
        <v>0</v>
      </c>
      <c r="U15" s="44" t="n">
        <v>0</v>
      </c>
      <c r="V15" s="44" t="n">
        <v>0</v>
      </c>
      <c r="W15" s="44" t="n">
        <v>0</v>
      </c>
      <c r="X15" s="44" t="n">
        <v>0</v>
      </c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3500</v>
      </c>
      <c r="AD15" s="44" t="n">
        <v>3500</v>
      </c>
      <c r="AE15" s="44" t="n">
        <v>3500</v>
      </c>
      <c r="AF15" s="44" t="n">
        <v>3500</v>
      </c>
      <c r="AG15" s="44" t="n">
        <v>3500</v>
      </c>
      <c r="AH15" s="44" t="n">
        <v>3500</v>
      </c>
      <c r="AI15" s="44" t="n">
        <v>3500</v>
      </c>
      <c r="AJ15" s="44" t="n">
        <v>3500</v>
      </c>
      <c r="AK15" s="44" t="n">
        <v>3500</v>
      </c>
      <c r="AL15" s="44" t="n">
        <f aca="false">SUM(B15:M15)</f>
        <v>0</v>
      </c>
      <c r="AM15" s="44" t="n">
        <f aca="false">SUM(N15:Y15)</f>
        <v>0</v>
      </c>
      <c r="AN15" s="44" t="n">
        <f aca="false">SUM(Z15:AK15)</f>
        <v>31500</v>
      </c>
    </row>
    <row r="16" customFormat="false" ht="15" hidden="false" customHeight="false" outlineLevel="0" collapsed="false">
      <c r="A16" s="0" t="s">
        <v>367</v>
      </c>
      <c r="B16" s="44" t="n">
        <v>0</v>
      </c>
      <c r="C16" s="44" t="n">
        <v>0</v>
      </c>
      <c r="D16" s="44" t="n">
        <v>0</v>
      </c>
      <c r="E16" s="44" t="n">
        <v>0</v>
      </c>
      <c r="F16" s="44" t="n">
        <v>0</v>
      </c>
      <c r="G16" s="44" t="n">
        <v>0</v>
      </c>
      <c r="H16" s="44" t="n">
        <v>0</v>
      </c>
      <c r="I16" s="44" t="n">
        <v>0</v>
      </c>
      <c r="J16" s="44" t="n">
        <v>0</v>
      </c>
      <c r="K16" s="44" t="n">
        <v>0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0</v>
      </c>
      <c r="Q16" s="44" t="n">
        <v>0</v>
      </c>
      <c r="R16" s="44" t="n">
        <v>0</v>
      </c>
      <c r="S16" s="44" t="n">
        <v>0</v>
      </c>
      <c r="T16" s="44" t="n">
        <v>0</v>
      </c>
      <c r="U16" s="44" t="n">
        <v>0</v>
      </c>
      <c r="V16" s="44" t="n">
        <v>0</v>
      </c>
      <c r="W16" s="44" t="n">
        <v>0</v>
      </c>
      <c r="X16" s="44" t="n">
        <v>0</v>
      </c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4000</v>
      </c>
      <c r="AH16" s="44" t="n">
        <v>4000</v>
      </c>
      <c r="AI16" s="44" t="n">
        <v>4000</v>
      </c>
      <c r="AJ16" s="44" t="n">
        <v>4000</v>
      </c>
      <c r="AK16" s="44" t="n">
        <v>4000</v>
      </c>
      <c r="AL16" s="44" t="n">
        <f aca="false">SUM(B16:M16)</f>
        <v>0</v>
      </c>
      <c r="AM16" s="44" t="n">
        <f aca="false">SUM(N16:Y16)</f>
        <v>0</v>
      </c>
      <c r="AN16" s="44" t="n">
        <f aca="false">SUM(Z16:AK16)</f>
        <v>20000</v>
      </c>
    </row>
    <row r="18" customFormat="false" ht="15" hidden="false" customHeight="false" outlineLevel="0" collapsed="false">
      <c r="A18" s="45" t="s">
        <v>368</v>
      </c>
      <c r="B18" s="46" t="n">
        <f aca="false">SUM(B5:B16)</f>
        <v>11500</v>
      </c>
      <c r="C18" s="46" t="n">
        <f aca="false">SUM(C5:C16)</f>
        <v>13000</v>
      </c>
      <c r="D18" s="46" t="n">
        <f aca="false">SUM(D5:D16)</f>
        <v>13000</v>
      </c>
      <c r="E18" s="46" t="n">
        <f aca="false">SUM(E5:E16)</f>
        <v>16000</v>
      </c>
      <c r="F18" s="46" t="n">
        <f aca="false">SUM(F5:F16)</f>
        <v>16000</v>
      </c>
      <c r="G18" s="46" t="n">
        <f aca="false">SUM(G5:G16)</f>
        <v>16000</v>
      </c>
      <c r="H18" s="46" t="n">
        <f aca="false">SUM(H5:H16)</f>
        <v>16000</v>
      </c>
      <c r="I18" s="46" t="n">
        <f aca="false">SUM(I5:I16)</f>
        <v>18500</v>
      </c>
      <c r="J18" s="46" t="n">
        <f aca="false">SUM(J5:J16)</f>
        <v>18500</v>
      </c>
      <c r="K18" s="46" t="n">
        <f aca="false">SUM(K5:K16)</f>
        <v>18500</v>
      </c>
      <c r="L18" s="46" t="n">
        <f aca="false">SUM(L5:L16)</f>
        <v>18500</v>
      </c>
      <c r="M18" s="46" t="n">
        <f aca="false">SUM(M5:M16)</f>
        <v>18500</v>
      </c>
      <c r="N18" s="46" t="n">
        <f aca="false">SUM(N5:N16)</f>
        <v>10500</v>
      </c>
      <c r="O18" s="46" t="n">
        <f aca="false">SUM(O5:O16)</f>
        <v>13500</v>
      </c>
      <c r="P18" s="46" t="n">
        <f aca="false">SUM(P5:P16)</f>
        <v>13500</v>
      </c>
      <c r="Q18" s="46" t="n">
        <f aca="false">SUM(Q5:Q16)</f>
        <v>13500</v>
      </c>
      <c r="R18" s="46" t="n">
        <f aca="false">SUM(R5:R16)</f>
        <v>13500</v>
      </c>
      <c r="S18" s="46" t="n">
        <f aca="false">SUM(S5:S16)</f>
        <v>16500</v>
      </c>
      <c r="T18" s="46" t="n">
        <f aca="false">SUM(T5:T16)</f>
        <v>16500</v>
      </c>
      <c r="U18" s="46" t="n">
        <f aca="false">SUM(U5:U16)</f>
        <v>13500</v>
      </c>
      <c r="V18" s="46" t="n">
        <f aca="false">SUM(V5:V16)</f>
        <v>13500</v>
      </c>
      <c r="W18" s="46" t="n">
        <f aca="false">SUM(W5:W16)</f>
        <v>14000</v>
      </c>
      <c r="X18" s="46" t="n">
        <f aca="false">SUM(X5:X16)</f>
        <v>14000</v>
      </c>
      <c r="Y18" s="46" t="n">
        <f aca="false">SUM(Y5:Y16)</f>
        <v>16500</v>
      </c>
      <c r="Z18" s="46" t="n">
        <f aca="false">SUM(Z5:Z16)</f>
        <v>16500</v>
      </c>
      <c r="AA18" s="46" t="n">
        <f aca="false">SUM(AA5:AA16)</f>
        <v>14000</v>
      </c>
      <c r="AB18" s="46" t="n">
        <f aca="false">SUM(AB5:AB16)</f>
        <v>14000</v>
      </c>
      <c r="AC18" s="46" t="n">
        <f aca="false">SUM(AC5:AC16)</f>
        <v>17500</v>
      </c>
      <c r="AD18" s="46" t="n">
        <f aca="false">SUM(AD5:AD16)</f>
        <v>17500</v>
      </c>
      <c r="AE18" s="46" t="n">
        <f aca="false">SUM(AE5:AE16)</f>
        <v>17500</v>
      </c>
      <c r="AF18" s="46" t="n">
        <f aca="false">SUM(AF5:AF16)</f>
        <v>15500</v>
      </c>
      <c r="AG18" s="46" t="n">
        <f aca="false">SUM(AG5:AG16)</f>
        <v>16500</v>
      </c>
      <c r="AH18" s="46" t="n">
        <f aca="false">SUM(AH5:AH16)</f>
        <v>16500</v>
      </c>
      <c r="AI18" s="46" t="n">
        <f aca="false">SUM(AI5:AI16)</f>
        <v>16500</v>
      </c>
      <c r="AJ18" s="46" t="n">
        <f aca="false">SUM(AJ5:AJ16)</f>
        <v>16500</v>
      </c>
      <c r="AK18" s="46" t="n">
        <f aca="false">SUM(AK5:AK16)</f>
        <v>16500</v>
      </c>
      <c r="AL18" s="46" t="n">
        <f aca="false">SUM(B18:M18)</f>
        <v>194000</v>
      </c>
      <c r="AM18" s="46" t="n">
        <f aca="false">SUM(N18:Y18)</f>
        <v>169000</v>
      </c>
      <c r="AN18" s="46" t="n">
        <f aca="false">SUM(Z18:AK18)</f>
        <v>195000</v>
      </c>
    </row>
    <row r="20" customFormat="false" ht="15" hidden="false" customHeight="false" outlineLevel="0" collapsed="false">
      <c r="A20" s="45" t="s">
        <v>369</v>
      </c>
      <c r="B20" s="0" t="n">
        <f aca="false">IF(B7&gt;0,1,0)+IF(B8&gt;0,1,0)+IF(B10&gt;0,1,0)+IF(B11&gt;0,1,0)+IF(B12&gt;0,1,0)+IF(B13&gt;0,1,0)+IF(B14&gt;0,1,0)+IF(B15&gt;0,1,0)+IF(B16&gt;0,1,0)</f>
        <v>0</v>
      </c>
      <c r="C20" s="0" t="n">
        <f aca="false">IF(C7&gt;0,1,0)+IF(C8&gt;0,1,0)+IF(C10&gt;0,1,0)+IF(C11&gt;0,1,0)+IF(C12&gt;0,1,0)+IF(C13&gt;0,1,0)+IF(C14&gt;0,1,0)+IF(C15&gt;0,1,0)+IF(C16&gt;0,1,0)</f>
        <v>1</v>
      </c>
      <c r="D20" s="0" t="n">
        <f aca="false">IF(D7&gt;0,1,0)+IF(D8&gt;0,1,0)+IF(D10&gt;0,1,0)+IF(D11&gt;0,1,0)+IF(D12&gt;0,1,0)+IF(D13&gt;0,1,0)+IF(D14&gt;0,1,0)+IF(D15&gt;0,1,0)+IF(D16&gt;0,1,0)</f>
        <v>1</v>
      </c>
      <c r="E20" s="0" t="n">
        <f aca="false">IF(E7&gt;0,1,0)+IF(E8&gt;0,1,0)+IF(E10&gt;0,1,0)+IF(E11&gt;0,1,0)+IF(E12&gt;0,1,0)+IF(E13&gt;0,1,0)+IF(E14&gt;0,1,0)+IF(E15&gt;0,1,0)+IF(E16&gt;0,1,0)</f>
        <v>2</v>
      </c>
      <c r="F20" s="0" t="n">
        <f aca="false">IF(F7&gt;0,1,0)+IF(F8&gt;0,1,0)+IF(F10&gt;0,1,0)+IF(F11&gt;0,1,0)+IF(F12&gt;0,1,0)+IF(F13&gt;0,1,0)+IF(F14&gt;0,1,0)+IF(F15&gt;0,1,0)+IF(F16&gt;0,1,0)</f>
        <v>2</v>
      </c>
      <c r="G20" s="0" t="n">
        <f aca="false">IF(G7&gt;0,1,0)+IF(G8&gt;0,1,0)+IF(G10&gt;0,1,0)+IF(G11&gt;0,1,0)+IF(G12&gt;0,1,0)+IF(G13&gt;0,1,0)+IF(G14&gt;0,1,0)+IF(G15&gt;0,1,0)+IF(G16&gt;0,1,0)</f>
        <v>2</v>
      </c>
      <c r="H20" s="0" t="n">
        <f aca="false">IF(H7&gt;0,1,0)+IF(H8&gt;0,1,0)+IF(H10&gt;0,1,0)+IF(H11&gt;0,1,0)+IF(H12&gt;0,1,0)+IF(H13&gt;0,1,0)+IF(H14&gt;0,1,0)+IF(H15&gt;0,1,0)+IF(H16&gt;0,1,0)</f>
        <v>2</v>
      </c>
      <c r="I20" s="0" t="n">
        <f aca="false">IF(I7&gt;0,1,0)+IF(I8&gt;0,1,0)+IF(I10&gt;0,1,0)+IF(I11&gt;0,1,0)+IF(I12&gt;0,1,0)+IF(I13&gt;0,1,0)+IF(I14&gt;0,1,0)+IF(I15&gt;0,1,0)+IF(I16&gt;0,1,0)</f>
        <v>3</v>
      </c>
      <c r="J20" s="0" t="n">
        <f aca="false">IF(J7&gt;0,1,0)+IF(J8&gt;0,1,0)+IF(J10&gt;0,1,0)+IF(J11&gt;0,1,0)+IF(J12&gt;0,1,0)+IF(J13&gt;0,1,0)+IF(J14&gt;0,1,0)+IF(J15&gt;0,1,0)+IF(J16&gt;0,1,0)</f>
        <v>3</v>
      </c>
      <c r="K20" s="0" t="n">
        <f aca="false">IF(K7&gt;0,1,0)+IF(K8&gt;0,1,0)+IF(K10&gt;0,1,0)+IF(K11&gt;0,1,0)+IF(K12&gt;0,1,0)+IF(K13&gt;0,1,0)+IF(K14&gt;0,1,0)+IF(K15&gt;0,1,0)+IF(K16&gt;0,1,0)</f>
        <v>3</v>
      </c>
      <c r="L20" s="0" t="n">
        <f aca="false">IF(L7&gt;0,1,0)+IF(L8&gt;0,1,0)+IF(L10&gt;0,1,0)+IF(L11&gt;0,1,0)+IF(L12&gt;0,1,0)+IF(L13&gt;0,1,0)+IF(L14&gt;0,1,0)+IF(L15&gt;0,1,0)+IF(L16&gt;0,1,0)</f>
        <v>3</v>
      </c>
      <c r="M20" s="0" t="n">
        <f aca="false">IF(M7&gt;0,1,0)+IF(M8&gt;0,1,0)+IF(M10&gt;0,1,0)+IF(M11&gt;0,1,0)+IF(M12&gt;0,1,0)+IF(M13&gt;0,1,0)+IF(M14&gt;0,1,0)+IF(M15&gt;0,1,0)+IF(M16&gt;0,1,0)</f>
        <v>3</v>
      </c>
      <c r="N20" s="0" t="n">
        <f aca="false">IF(N7&gt;0,1,0)+IF(N8&gt;0,1,0)+IF(N10&gt;0,1,0)+IF(N11&gt;0,1,0)+IF(N12&gt;0,1,0)+IF(N13&gt;0,1,0)+IF(N14&gt;0,1,0)+IF(N15&gt;0,1,0)+IF(N16&gt;0,1,0)</f>
        <v>3</v>
      </c>
      <c r="O20" s="0" t="n">
        <f aca="false">IF(O7&gt;0,1,0)+IF(O8&gt;0,1,0)+IF(O10&gt;0,1,0)+IF(O11&gt;0,1,0)+IF(O12&gt;0,1,0)+IF(O13&gt;0,1,0)+IF(O14&gt;0,1,0)+IF(O15&gt;0,1,0)+IF(O16&gt;0,1,0)</f>
        <v>4</v>
      </c>
      <c r="P20" s="0" t="n">
        <f aca="false">IF(P7&gt;0,1,0)+IF(P8&gt;0,1,0)+IF(P10&gt;0,1,0)+IF(P11&gt;0,1,0)+IF(P12&gt;0,1,0)+IF(P13&gt;0,1,0)+IF(P14&gt;0,1,0)+IF(P15&gt;0,1,0)+IF(P16&gt;0,1,0)</f>
        <v>4</v>
      </c>
      <c r="Q20" s="0" t="n">
        <f aca="false">IF(Q7&gt;0,1,0)+IF(Q8&gt;0,1,0)+IF(Q10&gt;0,1,0)+IF(Q11&gt;0,1,0)+IF(Q12&gt;0,1,0)+IF(Q13&gt;0,1,0)+IF(Q14&gt;0,1,0)+IF(Q15&gt;0,1,0)+IF(Q16&gt;0,1,0)</f>
        <v>4</v>
      </c>
      <c r="R20" s="0" t="n">
        <f aca="false">IF(R7&gt;0,1,0)+IF(R8&gt;0,1,0)+IF(R10&gt;0,1,0)+IF(R11&gt;0,1,0)+IF(R12&gt;0,1,0)+IF(R13&gt;0,1,0)+IF(R14&gt;0,1,0)+IF(R15&gt;0,1,0)+IF(R16&gt;0,1,0)</f>
        <v>4</v>
      </c>
      <c r="S20" s="0" t="n">
        <f aca="false">IF(S7&gt;0,1,0)+IF(S8&gt;0,1,0)+IF(S10&gt;0,1,0)+IF(S11&gt;0,1,0)+IF(S12&gt;0,1,0)+IF(S13&gt;0,1,0)+IF(S14&gt;0,1,0)+IF(S15&gt;0,1,0)+IF(S16&gt;0,1,0)</f>
        <v>5</v>
      </c>
      <c r="T20" s="0" t="n">
        <f aca="false">IF(T7&gt;0,1,0)+IF(T8&gt;0,1,0)+IF(T10&gt;0,1,0)+IF(T11&gt;0,1,0)+IF(T12&gt;0,1,0)+IF(T13&gt;0,1,0)+IF(T14&gt;0,1,0)+IF(T15&gt;0,1,0)+IF(T16&gt;0,1,0)</f>
        <v>5</v>
      </c>
      <c r="U20" s="0" t="n">
        <f aca="false">IF(U7&gt;0,1,0)+IF(U8&gt;0,1,0)+IF(U10&gt;0,1,0)+IF(U11&gt;0,1,0)+IF(U12&gt;0,1,0)+IF(U13&gt;0,1,0)+IF(U14&gt;0,1,0)+IF(U15&gt;0,1,0)+IF(U16&gt;0,1,0)</f>
        <v>4</v>
      </c>
      <c r="V20" s="0" t="n">
        <f aca="false">IF(V7&gt;0,1,0)+IF(V8&gt;0,1,0)+IF(V10&gt;0,1,0)+IF(V11&gt;0,1,0)+IF(V12&gt;0,1,0)+IF(V13&gt;0,1,0)+IF(V14&gt;0,1,0)+IF(V15&gt;0,1,0)+IF(V16&gt;0,1,0)</f>
        <v>4</v>
      </c>
      <c r="W20" s="0" t="n">
        <f aca="false">IF(W7&gt;0,1,0)+IF(W8&gt;0,1,0)+IF(W10&gt;0,1,0)+IF(W11&gt;0,1,0)+IF(W12&gt;0,1,0)+IF(W13&gt;0,1,0)+IF(W14&gt;0,1,0)+IF(W15&gt;0,1,0)+IF(W16&gt;0,1,0)</f>
        <v>4</v>
      </c>
      <c r="X20" s="0" t="n">
        <f aca="false">IF(X7&gt;0,1,0)+IF(X8&gt;0,1,0)+IF(X10&gt;0,1,0)+IF(X11&gt;0,1,0)+IF(X12&gt;0,1,0)+IF(X13&gt;0,1,0)+IF(X14&gt;0,1,0)+IF(X15&gt;0,1,0)+IF(X16&gt;0,1,0)</f>
        <v>4</v>
      </c>
      <c r="Y20" s="0" t="n">
        <f aca="false">IF(Y7&gt;0,1,0)+IF(Y8&gt;0,1,0)+IF(Y10&gt;0,1,0)+IF(Y11&gt;0,1,0)+IF(Y12&gt;0,1,0)+IF(Y13&gt;0,1,0)+IF(Y14&gt;0,1,0)+IF(Y15&gt;0,1,0)+IF(Y16&gt;0,1,0)</f>
        <v>5</v>
      </c>
      <c r="Z20" s="0" t="n">
        <f aca="false">IF(Z7&gt;0,1,0)+IF(Z8&gt;0,1,0)+IF(Z10&gt;0,1,0)+IF(Z11&gt;0,1,0)+IF(Z12&gt;0,1,0)+IF(Z13&gt;0,1,0)+IF(Z14&gt;0,1,0)+IF(Z15&gt;0,1,0)+IF(Z16&gt;0,1,0)</f>
        <v>5</v>
      </c>
      <c r="AA20" s="0" t="n">
        <f aca="false">IF(AA7&gt;0,1,0)+IF(AA8&gt;0,1,0)+IF(AA10&gt;0,1,0)+IF(AA11&gt;0,1,0)+IF(AA12&gt;0,1,0)+IF(AA13&gt;0,1,0)+IF(AA14&gt;0,1,0)+IF(AA15&gt;0,1,0)+IF(AA16&gt;0,1,0)</f>
        <v>4</v>
      </c>
      <c r="AB20" s="0" t="n">
        <f aca="false">IF(AB7&gt;0,1,0)+IF(AB8&gt;0,1,0)+IF(AB10&gt;0,1,0)+IF(AB11&gt;0,1,0)+IF(AB12&gt;0,1,0)+IF(AB13&gt;0,1,0)+IF(AB14&gt;0,1,0)+IF(AB15&gt;0,1,0)+IF(AB16&gt;0,1,0)</f>
        <v>4</v>
      </c>
      <c r="AC20" s="0" t="n">
        <f aca="false">IF(AC7&gt;0,1,0)+IF(AC8&gt;0,1,0)+IF(AC10&gt;0,1,0)+IF(AC11&gt;0,1,0)+IF(AC12&gt;0,1,0)+IF(AC13&gt;0,1,0)+IF(AC14&gt;0,1,0)+IF(AC15&gt;0,1,0)+IF(AC16&gt;0,1,0)</f>
        <v>5</v>
      </c>
      <c r="AD20" s="0" t="n">
        <f aca="false">IF(AD7&gt;0,1,0)+IF(AD8&gt;0,1,0)+IF(AD10&gt;0,1,0)+IF(AD11&gt;0,1,0)+IF(AD12&gt;0,1,0)+IF(AD13&gt;0,1,0)+IF(AD14&gt;0,1,0)+IF(AD15&gt;0,1,0)+IF(AD16&gt;0,1,0)</f>
        <v>5</v>
      </c>
      <c r="AE20" s="0" t="n">
        <f aca="false">IF(AE7&gt;0,1,0)+IF(AE8&gt;0,1,0)+IF(AE10&gt;0,1,0)+IF(AE11&gt;0,1,0)+IF(AE12&gt;0,1,0)+IF(AE13&gt;0,1,0)+IF(AE14&gt;0,1,0)+IF(AE15&gt;0,1,0)+IF(AE16&gt;0,1,0)</f>
        <v>5</v>
      </c>
      <c r="AF20" s="0" t="n">
        <f aca="false">IF(AF7&gt;0,1,0)+IF(AF8&gt;0,1,0)+IF(AF10&gt;0,1,0)+IF(AF11&gt;0,1,0)+IF(AF12&gt;0,1,0)+IF(AF13&gt;0,1,0)+IF(AF14&gt;0,1,0)+IF(AF15&gt;0,1,0)+IF(AF16&gt;0,1,0)</f>
        <v>5</v>
      </c>
      <c r="AG20" s="0" t="n">
        <f aca="false">IF(AG7&gt;0,1,0)+IF(AG8&gt;0,1,0)+IF(AG10&gt;0,1,0)+IF(AG11&gt;0,1,0)+IF(AG12&gt;0,1,0)+IF(AG13&gt;0,1,0)+IF(AG14&gt;0,1,0)+IF(AG15&gt;0,1,0)+IF(AG16&gt;0,1,0)</f>
        <v>5</v>
      </c>
      <c r="AH20" s="0" t="n">
        <f aca="false">IF(AH7&gt;0,1,0)+IF(AH8&gt;0,1,0)+IF(AH10&gt;0,1,0)+IF(AH11&gt;0,1,0)+IF(AH12&gt;0,1,0)+IF(AH13&gt;0,1,0)+IF(AH14&gt;0,1,0)+IF(AH15&gt;0,1,0)+IF(AH16&gt;0,1,0)</f>
        <v>5</v>
      </c>
      <c r="AI20" s="0" t="n">
        <f aca="false">IF(AI7&gt;0,1,0)+IF(AI8&gt;0,1,0)+IF(AI10&gt;0,1,0)+IF(AI11&gt;0,1,0)+IF(AI12&gt;0,1,0)+IF(AI13&gt;0,1,0)+IF(AI14&gt;0,1,0)+IF(AI15&gt;0,1,0)+IF(AI16&gt;0,1,0)</f>
        <v>5</v>
      </c>
      <c r="AJ20" s="0" t="n">
        <f aca="false">IF(AJ7&gt;0,1,0)+IF(AJ8&gt;0,1,0)+IF(AJ10&gt;0,1,0)+IF(AJ11&gt;0,1,0)+IF(AJ12&gt;0,1,0)+IF(AJ13&gt;0,1,0)+IF(AJ14&gt;0,1,0)+IF(AJ15&gt;0,1,0)+IF(AJ16&gt;0,1,0)</f>
        <v>5</v>
      </c>
      <c r="AK20" s="0" t="n">
        <f aca="false">IF(AK7&gt;0,1,0)+IF(AK8&gt;0,1,0)+IF(AK10&gt;0,1,0)+IF(AK11&gt;0,1,0)+IF(AK12&gt;0,1,0)+IF(AK13&gt;0,1,0)+IF(AK14&gt;0,1,0)+IF(AK15&gt;0,1,0)+IF(AK16&gt;0,1,0)</f>
        <v>5</v>
      </c>
    </row>
    <row r="21" customFormat="false" ht="15" hidden="false" customHeight="false" outlineLevel="0" collapsed="false">
      <c r="A21" s="45" t="s">
        <v>370</v>
      </c>
      <c r="B21" s="50" t="str">
        <f aca="false">IF(1&lt;=12,IF(B20&gt;3,"OVER",""),IF(B20&gt;5,"OVER",""))</f>
        <v/>
      </c>
      <c r="C21" s="50" t="str">
        <f aca="false">IF(2&lt;=12,IF(C20&gt;3,"OVER",""),IF(C20&gt;5,"OVER",""))</f>
        <v/>
      </c>
      <c r="D21" s="50" t="str">
        <f aca="false">IF(3&lt;=12,IF(D20&gt;3,"OVER",""),IF(D20&gt;5,"OVER",""))</f>
        <v/>
      </c>
      <c r="E21" s="50" t="str">
        <f aca="false">IF(4&lt;=12,IF(E20&gt;3,"OVER",""),IF(E20&gt;5,"OVER",""))</f>
        <v/>
      </c>
      <c r="F21" s="50" t="str">
        <f aca="false">IF(5&lt;=12,IF(F20&gt;3,"OVER",""),IF(F20&gt;5,"OVER",""))</f>
        <v/>
      </c>
      <c r="G21" s="50" t="str">
        <f aca="false">IF(6&lt;=12,IF(G20&gt;3,"OVER",""),IF(G20&gt;5,"OVER",""))</f>
        <v/>
      </c>
      <c r="H21" s="50" t="str">
        <f aca="false">IF(7&lt;=12,IF(H20&gt;3,"OVER",""),IF(H20&gt;5,"OVER",""))</f>
        <v/>
      </c>
      <c r="I21" s="50" t="str">
        <f aca="false">IF(8&lt;=12,IF(I20&gt;3,"OVER",""),IF(I20&gt;5,"OVER",""))</f>
        <v/>
      </c>
      <c r="J21" s="50" t="str">
        <f aca="false">IF(9&lt;=12,IF(J20&gt;3,"OVER",""),IF(J20&gt;5,"OVER",""))</f>
        <v/>
      </c>
      <c r="K21" s="50" t="str">
        <f aca="false">IF(10&lt;=12,IF(K20&gt;3,"OVER",""),IF(K20&gt;5,"OVER",""))</f>
        <v/>
      </c>
      <c r="L21" s="50" t="str">
        <f aca="false">IF(11&lt;=12,IF(L20&gt;3,"OVER",""),IF(L20&gt;5,"OVER",""))</f>
        <v/>
      </c>
      <c r="M21" s="50" t="str">
        <f aca="false">IF(12&lt;=12,IF(M20&gt;3,"OVER",""),IF(M20&gt;5,"OVER",""))</f>
        <v/>
      </c>
      <c r="N21" s="50" t="str">
        <f aca="false">IF(13&lt;=12,IF(N20&gt;3,"OVER",""),IF(N20&gt;5,"OVER",""))</f>
        <v/>
      </c>
      <c r="O21" s="50" t="str">
        <f aca="false">IF(14&lt;=12,IF(O20&gt;3,"OVER",""),IF(O20&gt;5,"OVER",""))</f>
        <v/>
      </c>
      <c r="P21" s="50" t="str">
        <f aca="false">IF(15&lt;=12,IF(P20&gt;3,"OVER",""),IF(P20&gt;5,"OVER",""))</f>
        <v/>
      </c>
      <c r="Q21" s="50" t="str">
        <f aca="false">IF(16&lt;=12,IF(Q20&gt;3,"OVER",""),IF(Q20&gt;5,"OVER",""))</f>
        <v/>
      </c>
      <c r="R21" s="50" t="str">
        <f aca="false">IF(17&lt;=12,IF(R20&gt;3,"OVER",""),IF(R20&gt;5,"OVER",""))</f>
        <v/>
      </c>
      <c r="S21" s="50" t="str">
        <f aca="false">IF(18&lt;=12,IF(S20&gt;3,"OVER",""),IF(S20&gt;5,"OVER",""))</f>
        <v/>
      </c>
      <c r="T21" s="50" t="str">
        <f aca="false">IF(19&lt;=12,IF(T20&gt;3,"OVER",""),IF(T20&gt;5,"OVER",""))</f>
        <v/>
      </c>
      <c r="U21" s="50" t="str">
        <f aca="false">IF(20&lt;=12,IF(U20&gt;3,"OVER",""),IF(U20&gt;5,"OVER",""))</f>
        <v/>
      </c>
      <c r="V21" s="50" t="str">
        <f aca="false">IF(21&lt;=12,IF(V20&gt;3,"OVER",""),IF(V20&gt;5,"OVER",""))</f>
        <v/>
      </c>
      <c r="W21" s="50" t="str">
        <f aca="false">IF(22&lt;=12,IF(W20&gt;3,"OVER",""),IF(W20&gt;5,"OVER",""))</f>
        <v/>
      </c>
      <c r="X21" s="50" t="str">
        <f aca="false">IF(23&lt;=12,IF(X20&gt;3,"OVER",""),IF(X20&gt;5,"OVER",""))</f>
        <v/>
      </c>
      <c r="Y21" s="50" t="str">
        <f aca="false">IF(24&lt;=12,IF(Y20&gt;3,"OVER",""),IF(Y20&gt;5,"OVER",""))</f>
        <v/>
      </c>
      <c r="Z21" s="50" t="str">
        <f aca="false">IF(25&lt;=12,IF(Z20&gt;3,"OVER",""),IF(Z20&gt;5,"OVER",""))</f>
        <v/>
      </c>
      <c r="AA21" s="50" t="str">
        <f aca="false">IF(26&lt;=12,IF(AA20&gt;3,"OVER",""),IF(AA20&gt;5,"OVER",""))</f>
        <v/>
      </c>
      <c r="AB21" s="50" t="str">
        <f aca="false">IF(27&lt;=12,IF(AB20&gt;3,"OVER",""),IF(AB20&gt;5,"OVER",""))</f>
        <v/>
      </c>
      <c r="AC21" s="50" t="str">
        <f aca="false">IF(28&lt;=12,IF(AC20&gt;3,"OVER",""),IF(AC20&gt;5,"OVER",""))</f>
        <v/>
      </c>
      <c r="AD21" s="50" t="str">
        <f aca="false">IF(29&lt;=12,IF(AD20&gt;3,"OVER",""),IF(AD20&gt;5,"OVER",""))</f>
        <v/>
      </c>
      <c r="AE21" s="50" t="str">
        <f aca="false">IF(30&lt;=12,IF(AE20&gt;3,"OVER",""),IF(AE20&gt;5,"OVER",""))</f>
        <v/>
      </c>
      <c r="AF21" s="50" t="str">
        <f aca="false">IF(31&lt;=12,IF(AF20&gt;3,"OVER",""),IF(AF20&gt;5,"OVER",""))</f>
        <v/>
      </c>
      <c r="AG21" s="50" t="str">
        <f aca="false">IF(32&lt;=12,IF(AG20&gt;3,"OVER",""),IF(AG20&gt;5,"OVER",""))</f>
        <v/>
      </c>
      <c r="AH21" s="50" t="str">
        <f aca="false">IF(33&lt;=12,IF(AH20&gt;3,"OVER",""),IF(AH20&gt;5,"OVER",""))</f>
        <v/>
      </c>
      <c r="AI21" s="50" t="str">
        <f aca="false">IF(34&lt;=12,IF(AI20&gt;3,"OVER",""),IF(AI20&gt;5,"OVER",""))</f>
        <v/>
      </c>
      <c r="AJ21" s="50" t="str">
        <f aca="false">IF(35&lt;=12,IF(AJ20&gt;3,"OVER",""),IF(AJ20&gt;5,"OVER",""))</f>
        <v/>
      </c>
      <c r="AK21" s="50" t="str">
        <f aca="false">IF(36&lt;=12,IF(AK20&gt;3,"OVER",""),IF(AK20&gt;5,"OVER",""))</f>
        <v/>
      </c>
    </row>
    <row r="23" customFormat="false" ht="15" hidden="false" customHeight="false" outlineLevel="0" collapsed="false">
      <c r="A23" s="45" t="s">
        <v>371</v>
      </c>
      <c r="B23" s="51" t="n">
        <v>-526</v>
      </c>
      <c r="C23" s="51" t="n">
        <v>-526</v>
      </c>
      <c r="D23" s="51" t="n">
        <v>-526</v>
      </c>
      <c r="E23" s="51" t="n">
        <v>-526</v>
      </c>
      <c r="F23" s="51" t="n">
        <v>-526</v>
      </c>
      <c r="G23" s="51" t="n">
        <v>-526</v>
      </c>
      <c r="H23" s="51" t="n">
        <v>-526</v>
      </c>
      <c r="I23" s="51" t="n">
        <v>-526</v>
      </c>
      <c r="J23" s="51" t="n">
        <v>-526</v>
      </c>
      <c r="K23" s="51" t="n">
        <v>-526</v>
      </c>
      <c r="L23" s="51" t="n">
        <v>-526</v>
      </c>
      <c r="M23" s="51" t="n">
        <v>-526</v>
      </c>
      <c r="N23" s="51" t="n">
        <v>-750</v>
      </c>
      <c r="O23" s="51" t="n">
        <v>-750</v>
      </c>
      <c r="P23" s="51" t="n">
        <v>-750</v>
      </c>
      <c r="Q23" s="51" t="n">
        <v>-750</v>
      </c>
      <c r="R23" s="51" t="n">
        <v>-750</v>
      </c>
      <c r="S23" s="51" t="n">
        <v>-750</v>
      </c>
      <c r="T23" s="51" t="n">
        <v>-750</v>
      </c>
      <c r="U23" s="51" t="n">
        <v>-750</v>
      </c>
      <c r="V23" s="51" t="n">
        <v>-750</v>
      </c>
      <c r="W23" s="51" t="n">
        <v>-750</v>
      </c>
      <c r="X23" s="51" t="n">
        <v>-750</v>
      </c>
      <c r="Y23" s="51" t="n">
        <v>-750</v>
      </c>
      <c r="Z23" s="51" t="n">
        <v>-1100</v>
      </c>
      <c r="AA23" s="51" t="n">
        <v>-1100</v>
      </c>
      <c r="AB23" s="51" t="n">
        <v>-1100</v>
      </c>
      <c r="AC23" s="51" t="n">
        <v>-1100</v>
      </c>
      <c r="AD23" s="51" t="n">
        <v>-1100</v>
      </c>
      <c r="AE23" s="51" t="n">
        <v>-1100</v>
      </c>
      <c r="AF23" s="51" t="n">
        <v>-1100</v>
      </c>
      <c r="AG23" s="51" t="n">
        <v>-1100</v>
      </c>
      <c r="AH23" s="51" t="n">
        <v>-1100</v>
      </c>
      <c r="AI23" s="51" t="n">
        <v>-1100</v>
      </c>
      <c r="AJ23" s="51" t="n">
        <v>-1100</v>
      </c>
      <c r="AK23" s="51" t="n">
        <v>-1100</v>
      </c>
      <c r="AL23" s="44" t="n">
        <f aca="false">SUM(B23:M23)</f>
        <v>-6312</v>
      </c>
      <c r="AM23" s="44" t="n">
        <f aca="false">SUM(N23:Y23)</f>
        <v>-9000</v>
      </c>
      <c r="AN23" s="44" t="n">
        <f aca="false">SUM(Z23:AK23)</f>
        <v>-13200</v>
      </c>
    </row>
    <row r="24" customFormat="false" ht="15" hidden="false" customHeight="false" outlineLevel="0" collapsed="false">
      <c r="A24" s="45" t="s">
        <v>372</v>
      </c>
      <c r="B24" s="46" t="n">
        <f aca="false">B18+B23</f>
        <v>10974</v>
      </c>
      <c r="C24" s="46" t="n">
        <f aca="false">C18+C23</f>
        <v>12474</v>
      </c>
      <c r="D24" s="46" t="n">
        <f aca="false">D18+D23</f>
        <v>12474</v>
      </c>
      <c r="E24" s="46" t="n">
        <f aca="false">E18+E23</f>
        <v>15474</v>
      </c>
      <c r="F24" s="46" t="n">
        <f aca="false">F18+F23</f>
        <v>15474</v>
      </c>
      <c r="G24" s="46" t="n">
        <f aca="false">G18+G23</f>
        <v>15474</v>
      </c>
      <c r="H24" s="46" t="n">
        <f aca="false">H18+H23</f>
        <v>15474</v>
      </c>
      <c r="I24" s="46" t="n">
        <f aca="false">I18+I23</f>
        <v>17974</v>
      </c>
      <c r="J24" s="46" t="n">
        <f aca="false">J18+J23</f>
        <v>17974</v>
      </c>
      <c r="K24" s="46" t="n">
        <f aca="false">K18+K23</f>
        <v>17974</v>
      </c>
      <c r="L24" s="46" t="n">
        <f aca="false">L18+L23</f>
        <v>17974</v>
      </c>
      <c r="M24" s="46" t="n">
        <f aca="false">M18+M23</f>
        <v>17974</v>
      </c>
      <c r="N24" s="46" t="n">
        <f aca="false">N18+N23</f>
        <v>9750</v>
      </c>
      <c r="O24" s="46" t="n">
        <f aca="false">O18+O23</f>
        <v>12750</v>
      </c>
      <c r="P24" s="46" t="n">
        <f aca="false">P18+P23</f>
        <v>12750</v>
      </c>
      <c r="Q24" s="46" t="n">
        <f aca="false">Q18+Q23</f>
        <v>12750</v>
      </c>
      <c r="R24" s="46" t="n">
        <f aca="false">R18+R23</f>
        <v>12750</v>
      </c>
      <c r="S24" s="46" t="n">
        <f aca="false">S18+S23</f>
        <v>15750</v>
      </c>
      <c r="T24" s="46" t="n">
        <f aca="false">T18+T23</f>
        <v>15750</v>
      </c>
      <c r="U24" s="46" t="n">
        <f aca="false">U18+U23</f>
        <v>12750</v>
      </c>
      <c r="V24" s="46" t="n">
        <f aca="false">V18+V23</f>
        <v>12750</v>
      </c>
      <c r="W24" s="46" t="n">
        <f aca="false">W18+W23</f>
        <v>13250</v>
      </c>
      <c r="X24" s="46" t="n">
        <f aca="false">X18+X23</f>
        <v>13250</v>
      </c>
      <c r="Y24" s="46" t="n">
        <f aca="false">Y18+Y23</f>
        <v>15750</v>
      </c>
      <c r="Z24" s="46" t="n">
        <f aca="false">Z18+Z23</f>
        <v>15400</v>
      </c>
      <c r="AA24" s="46" t="n">
        <f aca="false">AA18+AA23</f>
        <v>12900</v>
      </c>
      <c r="AB24" s="46" t="n">
        <f aca="false">AB18+AB23</f>
        <v>12900</v>
      </c>
      <c r="AC24" s="46" t="n">
        <f aca="false">AC18+AC23</f>
        <v>16400</v>
      </c>
      <c r="AD24" s="46" t="n">
        <f aca="false">AD18+AD23</f>
        <v>16400</v>
      </c>
      <c r="AE24" s="46" t="n">
        <f aca="false">AE18+AE23</f>
        <v>16400</v>
      </c>
      <c r="AF24" s="46" t="n">
        <f aca="false">AF18+AF23</f>
        <v>14400</v>
      </c>
      <c r="AG24" s="46" t="n">
        <f aca="false">AG18+AG23</f>
        <v>15400</v>
      </c>
      <c r="AH24" s="46" t="n">
        <f aca="false">AH18+AH23</f>
        <v>15400</v>
      </c>
      <c r="AI24" s="46" t="n">
        <f aca="false">AI18+AI23</f>
        <v>15400</v>
      </c>
      <c r="AJ24" s="46" t="n">
        <f aca="false">AJ18+AJ23</f>
        <v>15400</v>
      </c>
      <c r="AK24" s="46" t="n">
        <f aca="false">AK18+AK23</f>
        <v>15400</v>
      </c>
      <c r="AL24" s="46" t="n">
        <f aca="false">AL18+AL23</f>
        <v>187688</v>
      </c>
      <c r="AM24" s="46" t="n">
        <f aca="false">AM18+AM23</f>
        <v>160000</v>
      </c>
      <c r="AN24" s="46" t="n">
        <f aca="false">AN18+AN23</f>
        <v>181800</v>
      </c>
    </row>
    <row r="27" customFormat="false" ht="15" hidden="false" customHeight="false" outlineLevel="0" collapsed="false">
      <c r="A27" s="43" t="s">
        <v>373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customFormat="false" ht="15" hidden="false" customHeight="true" outlineLevel="0" collapsed="false">
      <c r="A28" s="27" t="s">
        <v>374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customFormat="false" ht="15" hidden="false" customHeight="true" outlineLevel="0" collapsed="false">
      <c r="A29" s="27" t="s">
        <v>375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</row>
    <row r="30" customFormat="false" ht="15" hidden="false" customHeight="true" outlineLevel="0" collapsed="false">
      <c r="A30" s="27" t="s">
        <v>376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</row>
    <row r="31" customFormat="false" ht="15" hidden="false" customHeight="true" outlineLevel="0" collapsed="false">
      <c r="A31" s="27" t="s">
        <v>377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customFormat="false" ht="15" hidden="false" customHeight="true" outlineLevel="0" collapsed="false">
      <c r="A32" s="27" t="s">
        <v>378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</row>
    <row r="33" customFormat="false" ht="15" hidden="false" customHeight="true" outlineLevel="0" collapsed="false">
      <c r="A33" s="27" t="s">
        <v>379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customFormat="false" ht="15" hidden="false" customHeight="true" outlineLevel="0" collapsed="false">
      <c r="A34" s="27" t="s">
        <v>380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customFormat="false" ht="15" hidden="false" customHeight="true" outlineLevel="0" collapsed="false">
      <c r="A35" s="27" t="s">
        <v>381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customFormat="false" ht="15" hidden="false" customHeight="true" outlineLevel="0" collapsed="false">
      <c r="A36" s="27" t="s">
        <v>382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customFormat="false" ht="15" hidden="false" customHeight="true" outlineLevel="0" collapsed="false">
      <c r="A37" s="27" t="s">
        <v>383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</row>
    <row r="40" customFormat="false" ht="15" hidden="false" customHeight="false" outlineLevel="0" collapsed="false">
      <c r="A40" s="43" t="s">
        <v>384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customFormat="false" ht="15" hidden="false" customHeight="true" outlineLevel="0" collapsed="false">
      <c r="A41" s="27" t="s">
        <v>385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</row>
    <row r="42" customFormat="false" ht="15" hidden="false" customHeight="true" outlineLevel="0" collapsed="false">
      <c r="A42" s="27" t="s">
        <v>386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customFormat="false" ht="15" hidden="false" customHeight="true" outlineLevel="0" collapsed="false">
      <c r="A43" s="27" t="s">
        <v>387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customFormat="false" ht="15" hidden="false" customHeight="true" outlineLevel="0" collapsed="false">
      <c r="A44" s="27" t="s">
        <v>388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customFormat="false" ht="15" hidden="false" customHeight="true" outlineLevel="0" collapsed="false">
      <c r="A45" s="27" t="s">
        <v>389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customFormat="false" ht="15" hidden="false" customHeight="true" outlineLevel="0" collapsed="false">
      <c r="A46" s="27" t="s">
        <v>390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</row>
    <row r="47" customFormat="false" ht="15" hidden="false" customHeight="true" outlineLevel="0" collapsed="false">
      <c r="A47" s="27" t="s">
        <v>391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</row>
    <row r="48" customFormat="false" ht="15" hidden="false" customHeight="true" outlineLevel="0" collapsed="false">
      <c r="A48" s="27" t="s">
        <v>392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</sheetData>
  <mergeCells count="23">
    <mergeCell ref="A1:AM1"/>
    <mergeCell ref="A2:AM2"/>
    <mergeCell ref="AP4:AS4"/>
    <mergeCell ref="A27:T27"/>
    <mergeCell ref="A28:T28"/>
    <mergeCell ref="A29:T29"/>
    <mergeCell ref="A30:T30"/>
    <mergeCell ref="A31:T31"/>
    <mergeCell ref="A32:T32"/>
    <mergeCell ref="A33:T33"/>
    <mergeCell ref="A34:T34"/>
    <mergeCell ref="A35:T35"/>
    <mergeCell ref="A36:T36"/>
    <mergeCell ref="A37:T37"/>
    <mergeCell ref="A40:T40"/>
    <mergeCell ref="A41:T41"/>
    <mergeCell ref="A42:T42"/>
    <mergeCell ref="A43:T43"/>
    <mergeCell ref="A44:T44"/>
    <mergeCell ref="A45:T45"/>
    <mergeCell ref="A46:T46"/>
    <mergeCell ref="A47:T47"/>
    <mergeCell ref="A48:T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2026-05-30T02:27:12Z</dcterms:created>
  <dc:creator>openpyxl</dc:creator>
  <dc:description/>
  <dc:language>en-US</dc:language>
  <cp:lastModifiedBy/>
  <dcterms:modified xsi:type="dcterms:W3CDTF">2026-05-31T04:47:02Z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