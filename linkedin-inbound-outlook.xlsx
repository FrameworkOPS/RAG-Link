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Outloo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<sst xmlns="http://schemas.openxmlformats.org/spreadsheetml/2006/main" count="62" uniqueCount="60">
  <si>
    <t xml:space="preserve">Framework OPS — LinkedIn Connection &amp; Inbound Outlook (12 Months)</t>
  </si>
  <si>
    <t xml:space="preserve">Pessimistic base case. Edit blue cells to flex. Source: connections/followers pulled live from LinkedIn 5/31/2026.</t>
  </si>
  <si>
    <t xml:space="preserve">INPUTS (edit blue cells)</t>
  </si>
  <si>
    <t xml:space="preserve">Starting connections</t>
  </si>
  <si>
    <t xml:space="preserve">Starting ICP share of network</t>
  </si>
  <si>
    <t xml:space="preserve">Connection requests sent / week</t>
  </si>
  <si>
    <t xml:space="preserve">Accept rate</t>
  </si>
  <si>
    <t xml:space="preserve">Weeks per month</t>
  </si>
  <si>
    <t xml:space="preserve">ICP share of NEW connections</t>
  </si>
  <si>
    <t xml:space="preserve">Organic connections / month (passive)</t>
  </si>
  <si>
    <t xml:space="preserve">Organic ICP share</t>
  </si>
  <si>
    <t xml:space="preserve">Monthly ICP reach factor (of ICP conns)</t>
  </si>
  <si>
    <t xml:space="preserve">Inbound rate — Months 1-3</t>
  </si>
  <si>
    <t xml:space="preserve">Inbound rate — Months 4-6</t>
  </si>
  <si>
    <t xml:space="preserve">Inbound rate — Months 7-9</t>
  </si>
  <si>
    <t xml:space="preserve">Inbound rate — Months 10-12</t>
  </si>
  <si>
    <t xml:space="preserve">Inbound conversation → qualified</t>
  </si>
  <si>
    <t xml:space="preserve">Qualified → closed client</t>
  </si>
  <si>
    <t xml:space="preserve">DERIVED</t>
  </si>
  <si>
    <t xml:space="preserve">New connections / month</t>
  </si>
  <si>
    <t xml:space="preserve">New ICP connections / month</t>
  </si>
  <si>
    <t xml:space="preserve">Month</t>
  </si>
  <si>
    <t xml:space="preserve">Connections (EOM)</t>
  </si>
  <si>
    <t xml:space="preserve">ICP connections (EOM)</t>
  </si>
  <si>
    <t xml:space="preserve">ICP %</t>
  </si>
  <si>
    <t xml:space="preserve">ICP reached / mo</t>
  </si>
  <si>
    <t xml:space="preserve">Inbound rate</t>
  </si>
  <si>
    <t xml:space="preserve">Inbound convos / mo</t>
  </si>
  <si>
    <t xml:space="preserve">Cumulative inbound</t>
  </si>
  <si>
    <t xml:space="preserve">-</t>
  </si>
  <si>
    <t xml:space="preserve">YEAR-1 RESULT (pessimistic base case)</t>
  </si>
  <si>
    <t xml:space="preserve">Inbound conversations (year)</t>
  </si>
  <si>
    <t xml:space="preserve">Qualified inbound opportunities</t>
  </si>
  <si>
    <t xml:space="preserve">Clients closed from inbound</t>
  </si>
  <si>
    <t xml:space="preserve">Inbound run-rate at Month 12 (/mo)</t>
  </si>
  <si>
    <t xml:space="preserve">OUTREACH FOLLOW-UP ENGINE (active outbound — the real Yr-1 pipeline)</t>
  </si>
  <si>
    <t xml:space="preserve">ICP connections added in year</t>
  </si>
  <si>
    <t xml:space="preserve">Follow-up → discovery call rate</t>
  </si>
  <si>
    <t xml:space="preserve">Discovery calls / year (outreach)</t>
  </si>
  <si>
    <t xml:space="preserve">Clients / year (outreach @ same close rate)</t>
  </si>
  <si>
    <t xml:space="preserve">Framework OPS — Inbound Outlook: What the model says</t>
  </si>
  <si>
    <t xml:space="preserve">THE HONEST HEADLINE</t>
  </si>
  <si>
    <t xml:space="preserve">At 50 requests/week (25% accept) + 4 posts/week, you reach ~1,280 connections (~660 ICP, 52% of network) by Month 12.</t>
  </si>
  <si>
    <t xml:space="preserve">Pure INBOUND (someone proactively contacting you) yields ~5 conversations all year — and ~0-1 closed client from inbound alone.</t>
  </si>
  <si>
    <t xml:space="preserve">First inbound trickle starts ~Month 4-6 (&lt;1/mo). You only cross ~1 inbound conversation/month at Month 12.</t>
  </si>
  <si>
    <t xml:space="preserve">TARGET NUMBERS TO SEE INBOUND</t>
  </si>
  <si>
    <t xml:space="preserve">First reliable ~1 inbound/month: ~1,200 connections / ~650 ICP + 6-12 months of consistent posting. You hit this ~Month 11-12.</t>
  </si>
  <si>
    <t xml:space="preserve">Repeatable ~2 inbound/month: ~2,300+ connections / ~1,200 ICP — roughly Month 20-24 at this cadence. Not a Year-1 outcome.</t>
  </si>
  <si>
    <t xml:space="preserve">Posting cadence: 4/week is sufficient. Consistency over 12+ months matters far more than volume. &gt;5/week shows diminishing returns + burnout risk.</t>
  </si>
  <si>
    <t xml:space="preserve">THE REFRAME THAT MATTERS</t>
  </si>
  <si>
    <t xml:space="preserve">Inbound is the slow compounding byproduct. The 50/week outreach is your actual Year-1 engine.</t>
  </si>
  <si>
    <t xml:space="preserve">Those ~520 new ICP connections are pipeline IF you proactively follow up (1:1), not wait for a DM.</t>
  </si>
  <si>
    <t xml:space="preserve">At a conservative 4% follow-up-to-call rate, that is ~21 discovery calls/year → ~4 clients — roughly 4x what inbound produces.</t>
  </si>
  <si>
    <t xml:space="preserve">Translation: treat LinkedIn content as the credibility layer that makes outreach land. Do not bank on inbound for Year-1 revenue.</t>
  </si>
  <si>
    <t xml:space="preserve">KEY RISKS (why this could be worse)</t>
  </si>
  <si>
    <t xml:space="preserve">Accept rate below 25% (cold, no note) — drop to 15% and network growth falls ~40%. Flex cell B8 to test.</t>
  </si>
  <si>
    <t xml:space="preserve">Reach factor assumes 55% monthly touch of ICP; LinkedIn organic reach is declining and may be lower for a small account.</t>
  </si>
  <si>
    <t xml:space="preserve">Inbound conversion (0.1-0.3%) is generous-to-fair for a launching brand with no track record; it could be ~0 longer.</t>
  </si>
  <si>
    <t xml:space="preserve">LinkedIn weekly invite limits (~100-200/wk, often throttled to ~100) — 50/wk is safe, but withdrawing stale invites may be needed.</t>
  </si>
  <si>
    <t xml:space="preserve">Capacity: per Framework OPS plan, realistic delivery ceiling is ~3 Active + 1 Embedded. Pipeline above that is not bookable solo.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</si>
</sst>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"/>
    <numFmt numFmtId="168" formatCode="0.00%"/>
    <numFmt numFmtId="169" formatCode="#,##0.0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v>556</v>
      </c>
    </row>
    <row r="6" customFormat="false" ht="15" hidden="false" customHeight="false" outlineLevel="0" collapsed="false">
      <c r="A6" s="5" t="s">
        <v>4</v>
      </c>
      <c r="B6" s="7" t="n">
        <v>0.25</v>
      </c>
    </row>
    <row r="7" customFormat="false" ht="15" hidden="false" customHeight="false" outlineLevel="0" collapsed="false">
      <c r="A7" s="5" t="s">
        <v>5</v>
      </c>
      <c r="B7" s="6" t="n">
        <v>50</v>
      </c>
    </row>
    <row r="8" customFormat="false" ht="15" hidden="false" customHeight="false" outlineLevel="0" collapsed="false">
      <c r="A8" s="5" t="s">
        <v>6</v>
      </c>
      <c r="B8" s="7" t="n">
        <v>0.25</v>
      </c>
    </row>
    <row r="9" customFormat="false" ht="15" hidden="false" customHeight="false" outlineLevel="0" collapsed="false">
      <c r="A9" s="5" t="s">
        <v>7</v>
      </c>
      <c r="B9" s="8" t="n">
        <f aca="false">52/12</f>
        <v>4.33333333333333</v>
      </c>
    </row>
    <row r="10" customFormat="false" ht="15" hidden="false" customHeight="false" outlineLevel="0" collapsed="false">
      <c r="A10" s="5" t="s">
        <v>8</v>
      </c>
      <c r="B10" s="7" t="n">
        <v>0.75</v>
      </c>
    </row>
    <row r="11" customFormat="false" ht="15" hidden="false" customHeight="false" outlineLevel="0" collapsed="false">
      <c r="A11" s="5" t="s">
        <v>9</v>
      </c>
      <c r="B11" s="6" t="n">
        <v>6</v>
      </c>
    </row>
    <row r="12" customFormat="false" ht="15" hidden="false" customHeight="false" outlineLevel="0" collapsed="false">
      <c r="A12" s="5" t="s">
        <v>10</v>
      </c>
      <c r="B12" s="9" t="n">
        <v>0.5</v>
      </c>
    </row>
    <row r="13" customFormat="false" ht="15" hidden="false" customHeight="false" outlineLevel="0" collapsed="false">
      <c r="A13" s="5" t="s">
        <v>11</v>
      </c>
      <c r="B13" s="7" t="n">
        <v>0.55</v>
      </c>
    </row>
    <row r="14" customFormat="false" ht="15" hidden="false" customHeight="false" outlineLevel="0" collapsed="false">
      <c r="A14" s="5" t="s">
        <v>12</v>
      </c>
      <c r="B14" s="10" t="n">
        <v>0</v>
      </c>
    </row>
    <row r="15" customFormat="false" ht="15" hidden="false" customHeight="false" outlineLevel="0" collapsed="false">
      <c r="A15" s="5" t="s">
        <v>13</v>
      </c>
      <c r="B15" s="10" t="n">
        <v>0.001</v>
      </c>
    </row>
    <row r="16" customFormat="false" ht="15" hidden="false" customHeight="false" outlineLevel="0" collapsed="false">
      <c r="A16" s="5" t="s">
        <v>14</v>
      </c>
      <c r="B16" s="10" t="n">
        <v>0.002</v>
      </c>
    </row>
    <row r="17" customFormat="false" ht="15" hidden="false" customHeight="false" outlineLevel="0" collapsed="false">
      <c r="A17" s="5" t="s">
        <v>15</v>
      </c>
      <c r="B17" s="10" t="n">
        <v>0.003</v>
      </c>
    </row>
    <row r="18" customFormat="false" ht="15" hidden="false" customHeight="false" outlineLevel="0" collapsed="false">
      <c r="A18" s="5" t="s">
        <v>16</v>
      </c>
      <c r="B18" s="7" t="n">
        <v>0.5</v>
      </c>
    </row>
    <row r="19" customFormat="false" ht="15" hidden="false" customHeight="false" outlineLevel="0" collapsed="false">
      <c r="A19" s="5" t="s">
        <v>17</v>
      </c>
      <c r="B19" s="7" t="n">
        <v>0.2</v>
      </c>
    </row>
    <row r="21" customFormat="false" ht="15" hidden="false" customHeight="false" outlineLevel="0" collapsed="false">
      <c r="A21" s="11" t="s">
        <v>18</v>
      </c>
    </row>
    <row r="22" customFormat="false" ht="15" hidden="false" customHeight="false" outlineLevel="0" collapsed="false">
      <c r="A22" s="5" t="s">
        <v>19</v>
      </c>
      <c r="B22" s="12" t="n">
        <f aca="false">B7*B9*B8+B11</f>
        <v>60.1666666666667</v>
      </c>
    </row>
    <row r="23" customFormat="false" ht="15" hidden="false" customHeight="false" outlineLevel="0" collapsed="false">
      <c r="A23" s="5" t="s">
        <v>20</v>
      </c>
      <c r="B23" s="12" t="n">
        <f aca="false">B7*B9*B8*B10+B11*B12</f>
        <v>43.625</v>
      </c>
    </row>
    <row r="26" customFormat="false" ht="39.55" hidden="false" customHeight="false" outlineLevel="0" collapsed="false">
      <c r="A26" s="13" t="s">
        <v>21</v>
      </c>
      <c r="B26" s="13" t="s">
        <v>22</v>
      </c>
      <c r="C26" s="13" t="s">
        <v>23</v>
      </c>
      <c r="D26" s="13" t="s">
        <v>24</v>
      </c>
      <c r="E26" s="13" t="s">
        <v>25</v>
      </c>
      <c r="F26" s="13" t="s">
        <v>26</v>
      </c>
      <c r="G26" s="13" t="s">
        <v>27</v>
      </c>
      <c r="H26" s="13" t="s">
        <v>28</v>
      </c>
    </row>
    <row r="27" customFormat="false" ht="15" hidden="false" customHeight="false" outlineLevel="0" collapsed="false">
      <c r="A27" s="14" t="n">
        <v>0</v>
      </c>
      <c r="B27" s="15" t="n">
        <f aca="false">B5</f>
        <v>556</v>
      </c>
      <c r="C27" s="15" t="n">
        <f aca="false">B5*B6</f>
        <v>139</v>
      </c>
      <c r="D27" s="16" t="n">
        <f aca="false">C27/B27</f>
        <v>0.25</v>
      </c>
      <c r="E27" s="15" t="s">
        <v>29</v>
      </c>
      <c r="F27" s="17" t="s">
        <v>29</v>
      </c>
      <c r="G27" s="8" t="s">
        <v>29</v>
      </c>
      <c r="H27" s="18" t="n">
        <v>0</v>
      </c>
    </row>
    <row r="28" customFormat="false" ht="15" hidden="false" customHeight="false" outlineLevel="0" collapsed="false">
      <c r="A28" s="14" t="n">
        <v>1</v>
      </c>
      <c r="B28" s="15" t="n">
        <f aca="false">B27+$B$22</f>
        <v>616.166666666667</v>
      </c>
      <c r="C28" s="15" t="n">
        <f aca="false">C27+$B$23</f>
        <v>182.625</v>
      </c>
      <c r="D28" s="16" t="n">
        <f aca="false">C28/B28</f>
        <v>0.296388964024885</v>
      </c>
      <c r="E28" s="15" t="n">
        <f aca="false">C28*$B$13</f>
        <v>100.44375</v>
      </c>
      <c r="F28" s="17" t="n">
        <f aca="false">IF(A28&lt;=3,$B$14,IF(A28&lt;=6,$B$15,IF(A28&lt;=9,$B$16,$B$17)))</f>
        <v>0</v>
      </c>
      <c r="G28" s="8" t="n">
        <f aca="false">E28*F28</f>
        <v>0</v>
      </c>
      <c r="H28" s="18" t="n">
        <f aca="false">H27+G28</f>
        <v>0</v>
      </c>
    </row>
    <row r="29" customFormat="false" ht="15" hidden="false" customHeight="false" outlineLevel="0" collapsed="false">
      <c r="A29" s="14" t="n">
        <v>2</v>
      </c>
      <c r="B29" s="15" t="n">
        <f aca="false">B28+$B$22</f>
        <v>676.333333333333</v>
      </c>
      <c r="C29" s="15" t="n">
        <f aca="false">C28+$B$23</f>
        <v>226.25</v>
      </c>
      <c r="D29" s="16" t="n">
        <f aca="false">C29/B29</f>
        <v>0.334524396254313</v>
      </c>
      <c r="E29" s="15" t="n">
        <f aca="false">C29*$B$13</f>
        <v>124.4375</v>
      </c>
      <c r="F29" s="17" t="n">
        <f aca="false">IF(A29&lt;=3,$B$14,IF(A29&lt;=6,$B$15,IF(A29&lt;=9,$B$16,$B$17)))</f>
        <v>0</v>
      </c>
      <c r="G29" s="8" t="n">
        <f aca="false">E29*F29</f>
        <v>0</v>
      </c>
      <c r="H29" s="18" t="n">
        <f aca="false">H28+G29</f>
        <v>0</v>
      </c>
    </row>
    <row r="30" customFormat="false" ht="15" hidden="false" customHeight="false" outlineLevel="0" collapsed="false">
      <c r="A30" s="14" t="n">
        <v>3</v>
      </c>
      <c r="B30" s="15" t="n">
        <f aca="false">B29+$B$22</f>
        <v>736.5</v>
      </c>
      <c r="C30" s="15" t="n">
        <f aca="false">C29+$B$23</f>
        <v>269.875</v>
      </c>
      <c r="D30" s="16" t="n">
        <f aca="false">C30/B30</f>
        <v>0.36642905634759</v>
      </c>
      <c r="E30" s="15" t="n">
        <f aca="false">C30*$B$13</f>
        <v>148.43125</v>
      </c>
      <c r="F30" s="17" t="n">
        <f aca="false">IF(A30&lt;=3,$B$14,IF(A30&lt;=6,$B$15,IF(A30&lt;=9,$B$16,$B$17)))</f>
        <v>0</v>
      </c>
      <c r="G30" s="8" t="n">
        <f aca="false">E30*F30</f>
        <v>0</v>
      </c>
      <c r="H30" s="18" t="n">
        <f aca="false">H29+G30</f>
        <v>0</v>
      </c>
    </row>
    <row r="31" customFormat="false" ht="15" hidden="false" customHeight="false" outlineLevel="0" collapsed="false">
      <c r="A31" s="14" t="n">
        <v>4</v>
      </c>
      <c r="B31" s="15" t="n">
        <f aca="false">B30+$B$22</f>
        <v>796.666666666667</v>
      </c>
      <c r="C31" s="15" t="n">
        <f aca="false">C30+$B$23</f>
        <v>313.5</v>
      </c>
      <c r="D31" s="16" t="n">
        <f aca="false">C31/B31</f>
        <v>0.393514644351465</v>
      </c>
      <c r="E31" s="15" t="n">
        <f aca="false">C31*$B$13</f>
        <v>172.425</v>
      </c>
      <c r="F31" s="17" t="n">
        <f aca="false">IF(A31&lt;=3,$B$14,IF(A31&lt;=6,$B$15,IF(A31&lt;=9,$B$16,$B$17)))</f>
        <v>0.001</v>
      </c>
      <c r="G31" s="8" t="n">
        <f aca="false">E31*F31</f>
        <v>0.172425</v>
      </c>
      <c r="H31" s="18" t="n">
        <f aca="false">H30+G31</f>
        <v>0.172425</v>
      </c>
    </row>
    <row r="32" customFormat="false" ht="15" hidden="false" customHeight="false" outlineLevel="0" collapsed="false">
      <c r="A32" s="14" t="n">
        <v>5</v>
      </c>
      <c r="B32" s="15" t="n">
        <f aca="false">B31+$B$22</f>
        <v>856.833333333333</v>
      </c>
      <c r="C32" s="15" t="n">
        <f aca="false">C31+$B$23</f>
        <v>357.125</v>
      </c>
      <c r="D32" s="16" t="n">
        <f aca="false">C32/B32</f>
        <v>0.416796343123906</v>
      </c>
      <c r="E32" s="15" t="n">
        <f aca="false">C32*$B$13</f>
        <v>196.41875</v>
      </c>
      <c r="F32" s="17" t="n">
        <f aca="false">IF(A32&lt;=3,$B$14,IF(A32&lt;=6,$B$15,IF(A32&lt;=9,$B$16,$B$17)))</f>
        <v>0.001</v>
      </c>
      <c r="G32" s="8" t="n">
        <f aca="false">E32*F32</f>
        <v>0.19641875</v>
      </c>
      <c r="H32" s="18" t="n">
        <f aca="false">H31+G32</f>
        <v>0.36884375</v>
      </c>
    </row>
    <row r="33" customFormat="false" ht="15" hidden="false" customHeight="false" outlineLevel="0" collapsed="false">
      <c r="A33" s="14" t="n">
        <v>6</v>
      </c>
      <c r="B33" s="15" t="n">
        <f aca="false">B32+$B$22</f>
        <v>917</v>
      </c>
      <c r="C33" s="15" t="n">
        <f aca="false">C32+$B$23</f>
        <v>400.75</v>
      </c>
      <c r="D33" s="16" t="n">
        <f aca="false">C33/B33</f>
        <v>0.437022900763359</v>
      </c>
      <c r="E33" s="15" t="n">
        <f aca="false">C33*$B$13</f>
        <v>220.4125</v>
      </c>
      <c r="F33" s="17" t="n">
        <f aca="false">IF(A33&lt;=3,$B$14,IF(A33&lt;=6,$B$15,IF(A33&lt;=9,$B$16,$B$17)))</f>
        <v>0.001</v>
      </c>
      <c r="G33" s="8" t="n">
        <f aca="false">E33*F33</f>
        <v>0.2204125</v>
      </c>
      <c r="H33" s="18" t="n">
        <f aca="false">H32+G33</f>
        <v>0.58925625</v>
      </c>
    </row>
    <row r="34" customFormat="false" ht="15" hidden="false" customHeight="false" outlineLevel="0" collapsed="false">
      <c r="A34" s="14" t="n">
        <v>7</v>
      </c>
      <c r="B34" s="15" t="n">
        <f aca="false">B33+$B$22</f>
        <v>977.166666666666</v>
      </c>
      <c r="C34" s="15" t="n">
        <f aca="false">C33+$B$23</f>
        <v>444.375</v>
      </c>
      <c r="D34" s="16" t="n">
        <f aca="false">C34/B34</f>
        <v>0.454758655978168</v>
      </c>
      <c r="E34" s="15" t="n">
        <f aca="false">C34*$B$13</f>
        <v>244.40625</v>
      </c>
      <c r="F34" s="17" t="n">
        <f aca="false">IF(A34&lt;=3,$B$14,IF(A34&lt;=6,$B$15,IF(A34&lt;=9,$B$16,$B$17)))</f>
        <v>0.002</v>
      </c>
      <c r="G34" s="8" t="n">
        <f aca="false">E34*F34</f>
        <v>0.4888125</v>
      </c>
      <c r="H34" s="18" t="n">
        <f aca="false">H33+G34</f>
        <v>1.07806875</v>
      </c>
    </row>
    <row r="35" customFormat="false" ht="15" hidden="false" customHeight="false" outlineLevel="0" collapsed="false">
      <c r="A35" s="14" t="n">
        <v>8</v>
      </c>
      <c r="B35" s="15" t="n">
        <f aca="false">B34+$B$22</f>
        <v>1037.33333333333</v>
      </c>
      <c r="C35" s="15" t="n">
        <f aca="false">C34+$B$23</f>
        <v>488</v>
      </c>
      <c r="D35" s="16" t="n">
        <f aca="false">C35/B35</f>
        <v>0.470437017994859</v>
      </c>
      <c r="E35" s="15" t="n">
        <f aca="false">C35*$B$13</f>
        <v>268.4</v>
      </c>
      <c r="F35" s="17" t="n">
        <f aca="false">IF(A35&lt;=3,$B$14,IF(A35&lt;=6,$B$15,IF(A35&lt;=9,$B$16,$B$17)))</f>
        <v>0.002</v>
      </c>
      <c r="G35" s="8" t="n">
        <f aca="false">E35*F35</f>
        <v>0.5368</v>
      </c>
      <c r="H35" s="18" t="n">
        <f aca="false">H34+G35</f>
        <v>1.61486875</v>
      </c>
    </row>
    <row r="36" customFormat="false" ht="15" hidden="false" customHeight="false" outlineLevel="0" collapsed="false">
      <c r="A36" s="14" t="n">
        <v>9</v>
      </c>
      <c r="B36" s="15" t="n">
        <f aca="false">B35+$B$22</f>
        <v>1097.5</v>
      </c>
      <c r="C36" s="15" t="n">
        <f aca="false">C35+$B$23</f>
        <v>531.625</v>
      </c>
      <c r="D36" s="16" t="n">
        <f aca="false">C36/B36</f>
        <v>0.484396355353075</v>
      </c>
      <c r="E36" s="15" t="n">
        <f aca="false">C36*$B$13</f>
        <v>292.39375</v>
      </c>
      <c r="F36" s="17" t="n">
        <f aca="false">IF(A36&lt;=3,$B$14,IF(A36&lt;=6,$B$15,IF(A36&lt;=9,$B$16,$B$17)))</f>
        <v>0.002</v>
      </c>
      <c r="G36" s="8" t="n">
        <f aca="false">E36*F36</f>
        <v>0.5847875</v>
      </c>
      <c r="H36" s="18" t="n">
        <f aca="false">H35+G36</f>
        <v>2.19965625</v>
      </c>
    </row>
    <row r="37" customFormat="false" ht="15" hidden="false" customHeight="false" outlineLevel="0" collapsed="false">
      <c r="A37" s="14" t="n">
        <v>10</v>
      </c>
      <c r="B37" s="15" t="n">
        <f aca="false">B36+$B$22</f>
        <v>1157.66666666667</v>
      </c>
      <c r="C37" s="15" t="n">
        <f aca="false">C36+$B$23</f>
        <v>575.25</v>
      </c>
      <c r="D37" s="16" t="n">
        <f aca="false">C37/B37</f>
        <v>0.49690469334869</v>
      </c>
      <c r="E37" s="15" t="n">
        <f aca="false">C37*$B$13</f>
        <v>316.3875</v>
      </c>
      <c r="F37" s="17" t="n">
        <f aca="false">IF(A37&lt;=3,$B$14,IF(A37&lt;=6,$B$15,IF(A37&lt;=9,$B$16,$B$17)))</f>
        <v>0.003</v>
      </c>
      <c r="G37" s="8" t="n">
        <f aca="false">E37*F37</f>
        <v>0.9491625</v>
      </c>
      <c r="H37" s="18" t="n">
        <f aca="false">H36+G37</f>
        <v>3.14881875</v>
      </c>
    </row>
    <row r="38" customFormat="false" ht="15" hidden="false" customHeight="false" outlineLevel="0" collapsed="false">
      <c r="A38" s="14" t="n">
        <v>11</v>
      </c>
      <c r="B38" s="15" t="n">
        <f aca="false">B37+$B$22</f>
        <v>1217.83333333333</v>
      </c>
      <c r="C38" s="15" t="n">
        <f aca="false">C37+$B$23</f>
        <v>618.875</v>
      </c>
      <c r="D38" s="16" t="n">
        <f aca="false">C38/B38</f>
        <v>0.508177090461202</v>
      </c>
      <c r="E38" s="15" t="n">
        <f aca="false">C38*$B$13</f>
        <v>340.38125</v>
      </c>
      <c r="F38" s="17" t="n">
        <f aca="false">IF(A38&lt;=3,$B$14,IF(A38&lt;=6,$B$15,IF(A38&lt;=9,$B$16,$B$17)))</f>
        <v>0.003</v>
      </c>
      <c r="G38" s="8" t="n">
        <f aca="false">E38*F38</f>
        <v>1.02114375</v>
      </c>
      <c r="H38" s="18" t="n">
        <f aca="false">H37+G38</f>
        <v>4.1699625</v>
      </c>
    </row>
    <row r="39" customFormat="false" ht="15" hidden="false" customHeight="false" outlineLevel="0" collapsed="false">
      <c r="A39" s="14" t="n">
        <v>12</v>
      </c>
      <c r="B39" s="15" t="n">
        <f aca="false">B38+$B$22</f>
        <v>1278</v>
      </c>
      <c r="C39" s="15" t="n">
        <f aca="false">C38+$B$23</f>
        <v>662.5</v>
      </c>
      <c r="D39" s="16" t="n">
        <f aca="false">C39/B39</f>
        <v>0.518388106416275</v>
      </c>
      <c r="E39" s="15" t="n">
        <f aca="false">C39*$B$13</f>
        <v>364.375</v>
      </c>
      <c r="F39" s="17" t="n">
        <f aca="false">IF(A39&lt;=3,$B$14,IF(A39&lt;=6,$B$15,IF(A39&lt;=9,$B$16,$B$17)))</f>
        <v>0.003</v>
      </c>
      <c r="G39" s="8" t="n">
        <f aca="false">E39*F39</f>
        <v>1.093125</v>
      </c>
      <c r="H39" s="18" t="n">
        <f aca="false">H38+G39</f>
        <v>5.2630875</v>
      </c>
    </row>
    <row r="41" customFormat="false" ht="15" hidden="false" customHeight="false" outlineLevel="0" collapsed="false">
      <c r="A41" s="11" t="s">
        <v>30</v>
      </c>
    </row>
    <row r="42" customFormat="false" ht="15" hidden="false" customHeight="false" outlineLevel="0" collapsed="false">
      <c r="A42" s="5" t="s">
        <v>31</v>
      </c>
      <c r="B42" s="19" t="n">
        <f aca="false">H39</f>
        <v>5.2630875</v>
      </c>
    </row>
    <row r="43" customFormat="false" ht="15" hidden="false" customHeight="false" outlineLevel="0" collapsed="false">
      <c r="A43" s="5" t="s">
        <v>32</v>
      </c>
      <c r="B43" s="19" t="n">
        <f aca="false">H39*B18</f>
        <v>2.63154375</v>
      </c>
    </row>
    <row r="44" customFormat="false" ht="15" hidden="false" customHeight="false" outlineLevel="0" collapsed="false">
      <c r="A44" s="5" t="s">
        <v>33</v>
      </c>
      <c r="B44" s="19" t="n">
        <f aca="false">H39*B18*B19</f>
        <v>0.52630875</v>
      </c>
    </row>
    <row r="45" customFormat="false" ht="15" hidden="false" customHeight="false" outlineLevel="0" collapsed="false">
      <c r="A45" s="5" t="s">
        <v>34</v>
      </c>
      <c r="B45" s="20" t="n">
        <f aca="false">G39</f>
        <v>1.093125</v>
      </c>
    </row>
    <row r="47" customFormat="false" ht="15" hidden="false" customHeight="false" outlineLevel="0" collapsed="false">
      <c r="A47" s="11" t="s">
        <v>35</v>
      </c>
    </row>
    <row r="48" customFormat="false" ht="15" hidden="false" customHeight="false" outlineLevel="0" collapsed="false">
      <c r="A48" s="5" t="s">
        <v>36</v>
      </c>
      <c r="B48" s="15" t="n">
        <f aca="false">B23*12</f>
        <v>523.5</v>
      </c>
    </row>
    <row r="49" customFormat="false" ht="15" hidden="false" customHeight="false" outlineLevel="0" collapsed="false">
      <c r="A49" s="5" t="s">
        <v>37</v>
      </c>
      <c r="B49" s="7" t="n">
        <v>0.04</v>
      </c>
    </row>
    <row r="50" customFormat="false" ht="15" hidden="false" customHeight="false" outlineLevel="0" collapsed="false">
      <c r="A50" s="5" t="s">
        <v>38</v>
      </c>
      <c r="B50" s="21" t="n">
        <f aca="false">B48*B49</f>
        <v>20.94</v>
      </c>
    </row>
    <row r="51" customFormat="false" ht="15" hidden="false" customHeight="false" outlineLevel="0" collapsed="false">
      <c r="A51" s="5" t="s">
        <v>39</v>
      </c>
      <c r="B51" s="21" t="n">
        <f aca="false">B50*B19</f>
        <v>4.188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2" t="s">
        <v>40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4" t="s">
        <v>41</v>
      </c>
    </row>
    <row r="4" customFormat="false" ht="26.85" hidden="false" customHeight="false" outlineLevel="0" collapsed="false">
      <c r="A4" s="23" t="s">
        <v>42</v>
      </c>
    </row>
    <row r="5" customFormat="false" ht="26.85" hidden="false" customHeight="false" outlineLevel="0" collapsed="false">
      <c r="A5" s="23" t="s">
        <v>43</v>
      </c>
    </row>
    <row r="6" customFormat="false" ht="15" hidden="false" customHeight="false" outlineLevel="0" collapsed="false">
      <c r="A6" s="23" t="s">
        <v>44</v>
      </c>
    </row>
    <row r="7" customFormat="false" ht="15" hidden="false" customHeight="false" outlineLevel="0" collapsed="false">
      <c r="A7" s="23"/>
    </row>
    <row r="8" customFormat="false" ht="15" hidden="false" customHeight="false" outlineLevel="0" collapsed="false">
      <c r="A8" s="24" t="s">
        <v>45</v>
      </c>
    </row>
    <row r="9" customFormat="false" ht="26.85" hidden="false" customHeight="false" outlineLevel="0" collapsed="false">
      <c r="A9" s="23" t="s">
        <v>46</v>
      </c>
    </row>
    <row r="10" customFormat="false" ht="26.85" hidden="false" customHeight="false" outlineLevel="0" collapsed="false">
      <c r="A10" s="23" t="s">
        <v>47</v>
      </c>
    </row>
    <row r="11" customFormat="false" ht="26.85" hidden="false" customHeight="false" outlineLevel="0" collapsed="false">
      <c r="A11" s="23" t="s">
        <v>48</v>
      </c>
    </row>
    <row r="12" customFormat="false" ht="15" hidden="false" customHeight="false" outlineLevel="0" collapsed="false">
      <c r="A12" s="23"/>
    </row>
    <row r="13" customFormat="false" ht="15" hidden="false" customHeight="false" outlineLevel="0" collapsed="false">
      <c r="A13" s="24" t="s">
        <v>49</v>
      </c>
    </row>
    <row r="14" customFormat="false" ht="15" hidden="false" customHeight="false" outlineLevel="0" collapsed="false">
      <c r="A14" s="23" t="s">
        <v>50</v>
      </c>
    </row>
    <row r="15" customFormat="false" ht="15" hidden="false" customHeight="false" outlineLevel="0" collapsed="false">
      <c r="A15" s="23" t="s">
        <v>51</v>
      </c>
    </row>
    <row r="16" customFormat="false" ht="26.85" hidden="false" customHeight="false" outlineLevel="0" collapsed="false">
      <c r="A16" s="23" t="s">
        <v>52</v>
      </c>
    </row>
    <row r="17" customFormat="false" ht="26.85" hidden="false" customHeight="false" outlineLevel="0" collapsed="false">
      <c r="A17" s="23" t="s">
        <v>53</v>
      </c>
    </row>
    <row r="18" customFormat="false" ht="15" hidden="false" customHeight="false" outlineLevel="0" collapsed="false">
      <c r="A18" s="23"/>
    </row>
    <row r="19" customFormat="false" ht="15" hidden="false" customHeight="false" outlineLevel="0" collapsed="false">
      <c r="A19" s="24" t="s">
        <v>54</v>
      </c>
    </row>
    <row r="20" customFormat="false" ht="15" hidden="false" customHeight="false" outlineLevel="0" collapsed="false">
      <c r="A20" s="23" t="s">
        <v>55</v>
      </c>
    </row>
    <row r="21" customFormat="false" ht="26.85" hidden="false" customHeight="false" outlineLevel="0" collapsed="false">
      <c r="A21" s="23" t="s">
        <v>56</v>
      </c>
    </row>
    <row r="22" customFormat="false" ht="15" hidden="false" customHeight="false" outlineLevel="0" collapsed="false">
      <c r="A22" s="23" t="s">
        <v>57</v>
      </c>
    </row>
    <row r="23" customFormat="false" ht="26.85" hidden="false" customHeight="false" outlineLevel="0" collapsed="false">
      <c r="A23" s="23" t="s">
        <v>58</v>
      </c>
    </row>
    <row r="24" customFormat="false" ht="26.85" hidden="false" customHeight="false" outlineLevel="0" collapsed="false">
      <c r="A24" s="2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2026-05-31T18:05:18Z</dcterms:created>
  <dc:creator>openpyxl</dc:creator>
  <dc:description/>
  <dc:language>en-US</dc:language>
  <cp:lastModifiedBy/>
  <dcterms:modified xsi:type="dcterms:W3CDTF">2026-05-31T18:05:18Z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