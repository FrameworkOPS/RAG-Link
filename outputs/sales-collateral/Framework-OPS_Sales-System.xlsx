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Pipeline Tracker" sheetId="2" state="visible" r:id="rId2"/>
    <sheet xmlns:r="http://schemas.openxmlformats.org/officeDocument/2006/relationships" name="Fit Scorecard" sheetId="3" state="visible" r:id="rId3"/>
    <sheet xmlns:r="http://schemas.openxmlformats.org/officeDocument/2006/relationships" name="Discovery Call" sheetId="4" state="visible" r:id="rId4"/>
    <sheet xmlns:r="http://schemas.openxmlformats.org/officeDocument/2006/relationships" name="Offer Router" sheetId="5" state="visible" r:id="rId5"/>
    <sheet xmlns:r="http://schemas.openxmlformats.org/officeDocument/2006/relationships" name="ROI Snapshot" sheetId="6" state="visible" r:id="rId6"/>
    <sheet xmlns:r="http://schemas.openxmlformats.org/officeDocument/2006/relationships" name="Follow-Up Cadence" sheetId="7" state="visible" r:id="rId7"/>
    <sheet xmlns:r="http://schemas.openxmlformats.org/officeDocument/2006/relationships" name="Lookup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$#,##0"/>
    <numFmt numFmtId="166" formatCode="0.0%"/>
    <numFmt numFmtId="167" formatCode="0.0x"/>
  </numFmts>
  <fonts count="13">
    <font>
      <name val="Calibri"/>
      <family val="2"/>
      <color theme="1"/>
      <sz val="11"/>
      <scheme val="minor"/>
    </font>
    <font>
      <name val="Aptos Mono"/>
      <b val="1"/>
      <color rgb="0014B981"/>
      <sz val="11"/>
    </font>
    <font>
      <name val="Aptos"/>
      <b val="1"/>
      <color rgb="0007182B"/>
      <sz val="22"/>
    </font>
    <font>
      <name val="Aptos"/>
      <color rgb="004A5868"/>
      <sz val="10"/>
    </font>
    <font>
      <b val="1"/>
      <color rgb="00FFFFFF"/>
      <sz val="14"/>
    </font>
    <font>
      <b val="1"/>
      <color rgb="0007182B"/>
      <sz val="12"/>
    </font>
    <font>
      <color rgb="004A5868"/>
      <sz val="10"/>
    </font>
    <font>
      <name val="Aptos"/>
      <b val="1"/>
      <color rgb="00F4F4EE"/>
      <sz val="10"/>
    </font>
    <font>
      <name val="Aptos"/>
      <color rgb="0007182B"/>
      <sz val="10"/>
    </font>
    <font>
      <b val="1"/>
      <color rgb="0007182B"/>
    </font>
    <font>
      <color rgb="0007182B"/>
    </font>
    <font>
      <b val="1"/>
      <color rgb="0007182B"/>
      <sz val="14"/>
    </font>
    <font>
      <b val="1"/>
      <color rgb="004A5868"/>
    </font>
  </fonts>
  <fills count="8">
    <fill>
      <patternFill/>
    </fill>
    <fill>
      <patternFill patternType="gray125"/>
    </fill>
    <fill>
      <patternFill patternType="solid">
        <fgColor rgb="00D9DDD5"/>
      </patternFill>
    </fill>
    <fill>
      <patternFill patternType="solid">
        <fgColor rgb="0014B981"/>
      </patternFill>
    </fill>
    <fill>
      <patternFill patternType="solid">
        <fgColor rgb="0007182B"/>
      </patternFill>
    </fill>
    <fill>
      <patternFill patternType="solid">
        <fgColor rgb="00FFFFFF"/>
      </patternFill>
    </fill>
    <fill>
      <patternFill patternType="solid">
        <fgColor rgb="00FAFAF7"/>
      </patternFill>
    </fill>
    <fill>
      <patternFill patternType="solid">
        <fgColor rgb="00F4F4EE"/>
      </patternFill>
    </fill>
  </fills>
  <borders count="4">
    <border>
      <left/>
      <right/>
      <top/>
      <bottom/>
      <diagonal/>
    </border>
    <border>
      <left style="thin">
        <color rgb="001B3A57"/>
      </left>
      <right style="thin">
        <color rgb="001B3A57"/>
      </right>
      <top style="thin">
        <color rgb="001B3A57"/>
      </top>
      <bottom style="thin">
        <color rgb="001B3A57"/>
      </bottom>
    </border>
    <border>
      <left style="thin">
        <color rgb="00D9DDD5"/>
      </left>
      <right style="thin">
        <color rgb="00D9DDD5"/>
      </right>
      <top style="thin">
        <color rgb="00D9DDD5"/>
      </top>
      <bottom style="thin">
        <color rgb="00D9DDD5"/>
      </bottom>
    </border>
    <border>
      <left style="medium">
        <color rgb="0014B981"/>
      </left>
      <right style="thin">
        <color rgb="00D9DDD5"/>
      </right>
      <top style="thin">
        <color rgb="00D9DDD5"/>
      </top>
      <bottom style="thin">
        <color rgb="00D9DDD5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0" fontId="4" fillId="3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7" fillId="4" borderId="1" applyAlignment="1" pivotButton="0" quotePrefix="0" xfId="0">
      <alignment horizontal="center" vertical="center" wrapText="1"/>
    </xf>
    <xf numFmtId="0" fontId="8" fillId="5" borderId="2" applyAlignment="1" pivotButton="0" quotePrefix="0" xfId="0">
      <alignment vertical="top" wrapText="1"/>
    </xf>
    <xf numFmtId="0" fontId="8" fillId="6" borderId="2" applyAlignment="1" pivotButton="0" quotePrefix="0" xfId="0">
      <alignment vertical="top" wrapText="1"/>
    </xf>
    <xf numFmtId="164" fontId="8" fillId="6" borderId="2" applyAlignment="1" pivotButton="0" quotePrefix="0" xfId="0">
      <alignment vertical="top" wrapText="1"/>
    </xf>
    <xf numFmtId="164" fontId="8" fillId="5" borderId="2" applyAlignment="1" pivotButton="0" quotePrefix="0" xfId="0">
      <alignment vertical="top" wrapText="1"/>
    </xf>
    <xf numFmtId="0" fontId="9" fillId="0" borderId="0" applyAlignment="1" pivotButton="0" quotePrefix="0" xfId="0">
      <alignment wrapText="1"/>
    </xf>
    <xf numFmtId="0" fontId="0" fillId="7" borderId="3" applyAlignment="1" pivotButton="0" quotePrefix="0" xfId="0">
      <alignment wrapText="1"/>
    </xf>
    <xf numFmtId="0" fontId="10" fillId="0" borderId="0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0" fontId="11" fillId="0" borderId="0" applyAlignment="1" pivotButton="0" quotePrefix="0" xfId="0">
      <alignment wrapText="1"/>
    </xf>
    <xf numFmtId="165" fontId="0" fillId="7" borderId="3" applyAlignment="1" pivotButton="0" quotePrefix="0" xfId="0">
      <alignment wrapText="1"/>
    </xf>
    <xf numFmtId="0" fontId="12" fillId="0" borderId="0" applyAlignment="1" pivotButton="0" quotePrefix="0" xfId="0">
      <alignment wrapText="1"/>
    </xf>
    <xf numFmtId="165" fontId="9" fillId="6" borderId="0" applyAlignment="1" pivotButton="0" quotePrefix="0" xfId="0">
      <alignment wrapText="1"/>
    </xf>
    <xf numFmtId="166" fontId="0" fillId="7" borderId="3" applyAlignment="1" pivotButton="0" quotePrefix="0" xfId="0">
      <alignment wrapText="1"/>
    </xf>
    <xf numFmtId="0" fontId="9" fillId="6" borderId="0" applyAlignment="1" pivotButton="0" quotePrefix="0" xfId="0">
      <alignment wrapText="1"/>
    </xf>
    <xf numFmtId="167" fontId="9" fillId="6" borderId="0" applyAlignment="1" pivotButton="0" quotePrefix="0" xfId="0">
      <alignment wrapText="1"/>
    </xf>
    <xf numFmtId="165" fontId="0" fillId="7" borderId="3" applyAlignment="1" pivotButton="0" quotePrefix="0" xfId="0">
      <alignment wrapText="1"/>
    </xf>
    <xf numFmtId="165" fontId="9" fillId="6" borderId="0" applyAlignment="1" pivotButton="0" quotePrefix="0" xfId="0">
      <alignment wrapText="1"/>
    </xf>
    <xf numFmtId="166" fontId="0" fillId="7" borderId="3" applyAlignment="1" pivotButton="0" quotePrefix="0" xfId="0">
      <alignment wrapText="1"/>
    </xf>
  </cellXfs>
  <cellStyles count="1">
    <cellStyle name="Normal" xfId="0" builtinId="0" hidden="0"/>
  </cellStyles>
  <dxfs count="3">
    <dxf>
      <fill>
        <patternFill patternType="solid">
          <fgColor rgb="00DDF7ED"/>
        </patternFill>
      </fill>
    </dxf>
    <dxf>
      <fill>
        <patternFill patternType="solid">
          <fgColor rgb="00F8E8C6"/>
        </patternFill>
      </fill>
    </dxf>
    <dxf>
      <fill>
        <patternFill patternType="solid">
          <fgColor rgb="00F7D8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Conservative Value vs. Cost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'ROI Snapshot'!$D$19:$D$20</f>
            </numRef>
          </cat>
          <val>
            <numRef>
              <f>'ROI Snapshot'!$E$19:$E$20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24</row>
      <rowOff>0</rowOff>
    </from>
    <ext cx="360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ipelineTable" displayName="PipelineTable" ref="A5:M54" headerRowCount="1">
  <autoFilter ref="A5:M55"/>
  <tableColumns count="13">
    <tableColumn id="1" name="None"/>
    <tableColumn id="2" name="None"/>
    <tableColumn id="3" name="None"/>
    <tableColumn id="4" name="None"/>
    <tableColumn id="5" name="None"/>
    <tableColumn id="6" name="None"/>
    <tableColumn id="7" name="None"/>
    <tableColumn id="8" name="None"/>
    <tableColumn id="9" name="None"/>
    <tableColumn id="10" name="None"/>
    <tableColumn id="11" name="None"/>
    <tableColumn id="12" name="None"/>
    <tableColumn id="13" name="None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DiscoveryTable" displayName="DiscoveryTable" ref="A5:D24" headerRowCount="1">
  <autoFilter ref="A5:D25"/>
  <tableColumns count="4">
    <tableColumn id="1" name="None"/>
    <tableColumn id="2" name="None"/>
    <tableColumn id="3" name="None"/>
    <tableColumn id="4" name="None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OfferRouterTable" displayName="OfferRouterTable" ref="A5:E13" headerRowCount="1">
  <autoFilter ref="A5:E14"/>
  <tableColumns count="5">
    <tableColumn id="1" name="None"/>
    <tableColumn id="2" name="None"/>
    <tableColumn id="3" name="None"/>
    <tableColumn id="4" name="None"/>
    <tableColumn id="5" name="None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CadenceTable" displayName="CadenceTable" ref="A5:E12" headerRowCount="1">
  <autoFilter ref="A5:E13"/>
  <tableColumns count="5">
    <tableColumn id="1" name="None"/>
    <tableColumn id="2" name="None"/>
    <tableColumn id="3" name="None"/>
    <tableColumn id="4" name="None"/>
    <tableColumn id="5" name="None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LookupTable" displayName="LookupTable" ref="A5:C28" headerRowCount="1">
  <autoFilter ref="A5:C29"/>
  <tableColumns count="3">
    <tableColumn id="1" name="None"/>
    <tableColumn id="2" name="None"/>
    <tableColumn id="3" name="Non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tabColor rgb="0014B981"/>
    <outlinePr summaryBelow="1" summaryRight="1"/>
    <pageSetUpPr/>
  </sheetPr>
  <dimension ref="A1:M12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32" customWidth="1" min="3" max="3"/>
    <col width="22" customWidth="1" min="4" max="4"/>
    <col width="20" customWidth="1" min="5" max="5"/>
    <col width="20" customWidth="1" min="6" max="6"/>
  </cols>
  <sheetData>
    <row r="1">
      <c r="A1" s="1" t="inlineStr">
        <is>
          <t>framework/ops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Sales System Control Panel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4" t="inlineStr">
        <is>
          <t>Use this workbook to qualify prospects, run the discovery process, route the right offer, and frame conservative ROI.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 ht="42" customHeight="1">
      <c r="A6" s="6" t="inlineStr">
        <is>
          <t>1</t>
        </is>
      </c>
      <c r="B6" s="7" t="inlineStr">
        <is>
          <t>Start with the OPS Assessment</t>
        </is>
      </c>
      <c r="C6" s="8" t="inlineStr">
        <is>
          <t>Do not sell retainers cold. Use the $997 OPS Assessment as the gateway unless the prospect is already diagnosed.</t>
        </is>
      </c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 ht="42" customHeight="1">
      <c r="A8" s="6" t="inlineStr">
        <is>
          <t>2</t>
        </is>
      </c>
      <c r="B8" s="7" t="inlineStr">
        <is>
          <t>Score fit before effort</t>
        </is>
      </c>
      <c r="C8" s="8" t="inlineStr">
        <is>
          <t>Revenue, owner involvement, implementation capacity, margin/cash pain, and disqualifiers decide whether the prospect deserves time.</t>
        </is>
      </c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 ht="42" customHeight="1">
      <c r="A10" s="6" t="inlineStr">
        <is>
          <t>3</t>
        </is>
      </c>
      <c r="B10" s="7" t="inlineStr">
        <is>
          <t>Route to one path</t>
        </is>
      </c>
      <c r="C10" s="8" t="inlineStr">
        <is>
          <t>Proposal should recommend one path: Entry, Sprint, Advisory, Light, Active, or Embedded. No tier menu in the proposal.</t>
        </is>
      </c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 ht="42" customHeight="1">
      <c r="A12" s="6" t="inlineStr">
        <is>
          <t>4</t>
        </is>
      </c>
      <c r="B12" s="7" t="inlineStr">
        <is>
          <t>Show conservative ROI</t>
        </is>
      </c>
      <c r="C12" s="8" t="inlineStr">
        <is>
          <t>Use downside and conservative case first. Flag affordability if retainer is more than 15% of monthly net profit.</t>
        </is>
      </c>
      <c r="G12" s="2" t="n"/>
      <c r="H12" s="2" t="n"/>
      <c r="I12" s="2" t="n"/>
      <c r="J12" s="2" t="n"/>
      <c r="K12" s="2" t="n"/>
      <c r="L12" s="2" t="n"/>
      <c r="M12" s="2" t="n"/>
    </row>
  </sheetData>
  <mergeCells count="4">
    <mergeCell ref="C6:F6"/>
    <mergeCell ref="C8:F8"/>
    <mergeCell ref="C10:F10"/>
    <mergeCell ref="C12:F12"/>
  </mergeCells>
  <pageMargins left="0.3" right="0.3" top="0.5" bottom="0.5" header="0.5" footer="0.5"/>
  <pageSetup orientation="landscape"/>
</worksheet>
</file>

<file path=xl/worksheets/sheet2.xml><?xml version="1.0" encoding="utf-8"?>
<worksheet xmlns="http://schemas.openxmlformats.org/spreadsheetml/2006/main">
  <sheetPr>
    <tabColor rgb="0007182B"/>
    <outlinePr summaryBelow="1" summaryRight="1"/>
    <pageSetUpPr/>
  </sheetPr>
  <dimension ref="A1:M55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16" customWidth="1" min="4" max="4"/>
    <col width="12" customWidth="1" min="5" max="5"/>
    <col width="14" customWidth="1" min="6" max="6"/>
    <col width="18" customWidth="1" min="7" max="7"/>
    <col width="12" customWidth="1" min="8" max="8"/>
    <col width="28" customWidth="1" min="9" max="9"/>
    <col width="15" customWidth="1" min="10" max="10"/>
    <col width="15" customWidth="1" min="11" max="11"/>
    <col width="16" customWidth="1" min="12" max="12"/>
    <col width="42" customWidth="1" min="13" max="13"/>
  </cols>
  <sheetData>
    <row r="1">
      <c r="A1" s="1" t="inlineStr">
        <is>
          <t>framework/ops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Pipeline Tracker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4" t="inlineStr">
        <is>
          <t>Dense CRM-lite tracker for LinkedIn, referrals, warm intros, and inbound leads.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 s="9" t="inlineStr">
        <is>
          <t>Prospect</t>
        </is>
      </c>
      <c r="B5" s="9" t="inlineStr">
        <is>
          <t>Company</t>
        </is>
      </c>
      <c r="C5" s="9" t="inlineStr">
        <is>
          <t>Trade</t>
        </is>
      </c>
      <c r="D5" s="9" t="inlineStr">
        <is>
          <t>Revenue Band</t>
        </is>
      </c>
      <c r="E5" s="9" t="inlineStr">
        <is>
          <t>Employees</t>
        </is>
      </c>
      <c r="F5" s="9" t="inlineStr">
        <is>
          <t>Source</t>
        </is>
      </c>
      <c r="G5" s="9" t="inlineStr">
        <is>
          <t>Stage</t>
        </is>
      </c>
      <c r="H5" s="9" t="inlineStr">
        <is>
          <t>Fit</t>
        </is>
      </c>
      <c r="I5" s="9" t="inlineStr">
        <is>
          <t>Next Action</t>
        </is>
      </c>
      <c r="J5" s="9" t="inlineStr">
        <is>
          <t>Next Action Date</t>
        </is>
      </c>
      <c r="K5" s="9" t="inlineStr">
        <is>
          <t>Last Touch</t>
        </is>
      </c>
      <c r="L5" s="9" t="inlineStr">
        <is>
          <t>Budget Signal</t>
        </is>
      </c>
      <c r="M5" s="9" t="inlineStr">
        <is>
          <t>Notes</t>
        </is>
      </c>
    </row>
    <row r="6">
      <c r="A6" s="10" t="inlineStr">
        <is>
          <t>Matt D.</t>
        </is>
      </c>
      <c r="B6" s="10" t="inlineStr">
        <is>
          <t>DiBara Masonry</t>
        </is>
      </c>
      <c r="C6" s="10" t="inlineStr">
        <is>
          <t>Masonry/Concrete</t>
        </is>
      </c>
      <c r="D6" s="10" t="inlineStr">
        <is>
          <t>$8M-$20M</t>
        </is>
      </c>
      <c r="E6" s="10" t="inlineStr">
        <is>
          <t>25-75</t>
        </is>
      </c>
      <c r="F6" s="10" t="inlineStr">
        <is>
          <t>Referral</t>
        </is>
      </c>
      <c r="G6" s="10" t="inlineStr">
        <is>
          <t>Proposal Sent</t>
        </is>
      </c>
      <c r="H6" s="10" t="inlineStr">
        <is>
          <t>Go</t>
        </is>
      </c>
      <c r="I6" s="10" t="inlineStr">
        <is>
          <t>Book live walkthrough</t>
        </is>
      </c>
      <c r="J6" s="13" t="n">
        <v>46183</v>
      </c>
      <c r="K6" s="13" t="n">
        <v>46176</v>
      </c>
      <c r="L6" s="10" t="inlineStr">
        <is>
          <t>Strong</t>
        </is>
      </c>
      <c r="M6" s="10" t="inlineStr">
        <is>
          <t>No job costing; owner bottleneck in sales; HubSpot build underway.</t>
        </is>
      </c>
    </row>
    <row r="7">
      <c r="A7" s="11" t="inlineStr">
        <is>
          <t>Roofing Owner</t>
        </is>
      </c>
      <c r="B7" s="11" t="inlineStr">
        <is>
          <t>Example Roofing</t>
        </is>
      </c>
      <c r="C7" s="11" t="inlineStr">
        <is>
          <t>Roofing</t>
        </is>
      </c>
      <c r="D7" s="11" t="inlineStr">
        <is>
          <t>$2M-$8M</t>
        </is>
      </c>
      <c r="E7" s="11" t="inlineStr">
        <is>
          <t>10-25</t>
        </is>
      </c>
      <c r="F7" s="11" t="inlineStr">
        <is>
          <t>LinkedIn</t>
        </is>
      </c>
      <c r="G7" s="11" t="inlineStr">
        <is>
          <t>Connected</t>
        </is>
      </c>
      <c r="H7" s="11" t="inlineStr">
        <is>
          <t>Wait</t>
        </is>
      </c>
      <c r="I7" s="11" t="inlineStr">
        <is>
          <t>Ask about current ops pain</t>
        </is>
      </c>
      <c r="J7" s="12" t="n">
        <v>46185</v>
      </c>
      <c r="K7" s="12" t="n">
        <v>46177</v>
      </c>
      <c r="L7" s="11" t="inlineStr">
        <is>
          <t>Unknown</t>
        </is>
      </c>
      <c r="M7" s="11" t="inlineStr">
        <is>
          <t>Do not pitch retainer. Route to OPS Assessment.</t>
        </is>
      </c>
    </row>
    <row r="8">
      <c r="A8" s="10" t="inlineStr"/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/>
      <c r="K8" s="10" t="inlineStr"/>
      <c r="L8" s="10" t="inlineStr"/>
      <c r="M8" s="10" t="inlineStr"/>
    </row>
    <row r="9">
      <c r="A9" s="11" t="inlineStr"/>
      <c r="B9" s="11" t="inlineStr"/>
      <c r="C9" s="11" t="inlineStr"/>
      <c r="D9" s="11" t="inlineStr"/>
      <c r="E9" s="11" t="inlineStr"/>
      <c r="F9" s="11" t="inlineStr"/>
      <c r="G9" s="11" t="inlineStr"/>
      <c r="H9" s="11" t="inlineStr"/>
      <c r="I9" s="11" t="inlineStr"/>
      <c r="J9" s="11" t="inlineStr"/>
      <c r="K9" s="11" t="inlineStr"/>
      <c r="L9" s="11" t="inlineStr"/>
      <c r="M9" s="11" t="inlineStr"/>
    </row>
    <row r="10">
      <c r="A10" s="10" t="inlineStr"/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  <c r="K10" s="10" t="inlineStr"/>
      <c r="L10" s="10" t="inlineStr"/>
      <c r="M10" s="10" t="inlineStr"/>
    </row>
    <row r="11">
      <c r="A11" s="11" t="inlineStr"/>
      <c r="B11" s="11" t="inlineStr"/>
      <c r="C11" s="11" t="inlineStr"/>
      <c r="D11" s="11" t="inlineStr"/>
      <c r="E11" s="11" t="inlineStr"/>
      <c r="F11" s="11" t="inlineStr"/>
      <c r="G11" s="11" t="inlineStr"/>
      <c r="H11" s="11" t="inlineStr"/>
      <c r="I11" s="11" t="inlineStr"/>
      <c r="J11" s="11" t="inlineStr"/>
      <c r="K11" s="11" t="inlineStr"/>
      <c r="L11" s="11" t="inlineStr"/>
      <c r="M11" s="11" t="inlineStr"/>
    </row>
    <row r="12">
      <c r="A12" s="10" t="inlineStr"/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</row>
    <row r="13">
      <c r="A13" s="11" t="inlineStr"/>
      <c r="B13" s="11" t="inlineStr"/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  <c r="J13" s="11" t="inlineStr"/>
      <c r="K13" s="11" t="inlineStr"/>
      <c r="L13" s="11" t="inlineStr"/>
      <c r="M13" s="11" t="inlineStr"/>
    </row>
    <row r="14">
      <c r="A14" s="10" t="inlineStr"/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</row>
    <row r="15">
      <c r="A15" s="11" t="inlineStr"/>
      <c r="B15" s="11" t="inlineStr"/>
      <c r="C15" s="11" t="inlineStr"/>
      <c r="D15" s="11" t="inlineStr"/>
      <c r="E15" s="11" t="inlineStr"/>
      <c r="F15" s="11" t="inlineStr"/>
      <c r="G15" s="11" t="inlineStr"/>
      <c r="H15" s="11" t="inlineStr"/>
      <c r="I15" s="11" t="inlineStr"/>
      <c r="J15" s="11" t="inlineStr"/>
      <c r="K15" s="11" t="inlineStr"/>
      <c r="L15" s="11" t="inlineStr"/>
      <c r="M15" s="11" t="inlineStr"/>
    </row>
    <row r="16">
      <c r="A16" s="10" t="inlineStr"/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</row>
    <row r="17">
      <c r="A17" s="11" t="inlineStr"/>
      <c r="B17" s="11" t="inlineStr"/>
      <c r="C17" s="11" t="inlineStr"/>
      <c r="D17" s="11" t="inlineStr"/>
      <c r="E17" s="11" t="inlineStr"/>
      <c r="F17" s="11" t="inlineStr"/>
      <c r="G17" s="11" t="inlineStr"/>
      <c r="H17" s="11" t="inlineStr"/>
      <c r="I17" s="11" t="inlineStr"/>
      <c r="J17" s="11" t="inlineStr"/>
      <c r="K17" s="11" t="inlineStr"/>
      <c r="L17" s="11" t="inlineStr"/>
      <c r="M17" s="11" t="inlineStr"/>
    </row>
    <row r="18">
      <c r="A18" s="10" t="inlineStr"/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  <c r="L18" s="10" t="inlineStr"/>
      <c r="M18" s="10" t="inlineStr"/>
    </row>
    <row r="19">
      <c r="A19" s="11" t="inlineStr"/>
      <c r="B19" s="11" t="inlineStr"/>
      <c r="C19" s="11" t="inlineStr"/>
      <c r="D19" s="11" t="inlineStr"/>
      <c r="E19" s="11" t="inlineStr"/>
      <c r="F19" s="11" t="inlineStr"/>
      <c r="G19" s="11" t="inlineStr"/>
      <c r="H19" s="11" t="inlineStr"/>
      <c r="I19" s="11" t="inlineStr"/>
      <c r="J19" s="11" t="inlineStr"/>
      <c r="K19" s="11" t="inlineStr"/>
      <c r="L19" s="11" t="inlineStr"/>
      <c r="M19" s="11" t="inlineStr"/>
    </row>
    <row r="20">
      <c r="A20" s="10" t="inlineStr"/>
      <c r="B20" s="10" t="inlineStr"/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  <c r="K20" s="10" t="inlineStr"/>
      <c r="L20" s="10" t="inlineStr"/>
      <c r="M20" s="10" t="inlineStr"/>
    </row>
    <row r="21">
      <c r="A21" s="11" t="inlineStr"/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  <c r="J21" s="11" t="inlineStr"/>
      <c r="K21" s="11" t="inlineStr"/>
      <c r="L21" s="11" t="inlineStr"/>
      <c r="M21" s="11" t="inlineStr"/>
    </row>
    <row r="22">
      <c r="A22" s="10" t="inlineStr"/>
      <c r="B22" s="10" t="inlineStr"/>
      <c r="C22" s="10" t="inlineStr"/>
      <c r="D22" s="10" t="inlineStr"/>
      <c r="E22" s="10" t="inlineStr"/>
      <c r="F22" s="10" t="inlineStr"/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</row>
    <row r="23">
      <c r="A23" s="11" t="inlineStr"/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  <c r="J23" s="11" t="inlineStr"/>
      <c r="K23" s="11" t="inlineStr"/>
      <c r="L23" s="11" t="inlineStr"/>
      <c r="M23" s="11" t="inlineStr"/>
    </row>
    <row r="24">
      <c r="A24" s="10" t="inlineStr"/>
      <c r="B24" s="10" t="inlineStr"/>
      <c r="C24" s="10" t="inlineStr"/>
      <c r="D24" s="10" t="inlineStr"/>
      <c r="E24" s="10" t="inlineStr"/>
      <c r="F24" s="10" t="inlineStr"/>
      <c r="G24" s="10" t="inlineStr"/>
      <c r="H24" s="10" t="inlineStr"/>
      <c r="I24" s="10" t="inlineStr"/>
      <c r="J24" s="10" t="inlineStr"/>
      <c r="K24" s="10" t="inlineStr"/>
      <c r="L24" s="10" t="inlineStr"/>
      <c r="M24" s="10" t="inlineStr"/>
    </row>
    <row r="25">
      <c r="A25" s="11" t="inlineStr"/>
      <c r="B25" s="11" t="inlineStr"/>
      <c r="C25" s="11" t="inlineStr"/>
      <c r="D25" s="11" t="inlineStr"/>
      <c r="E25" s="11" t="inlineStr"/>
      <c r="F25" s="11" t="inlineStr"/>
      <c r="G25" s="11" t="inlineStr"/>
      <c r="H25" s="11" t="inlineStr"/>
      <c r="I25" s="11" t="inlineStr"/>
      <c r="J25" s="11" t="inlineStr"/>
      <c r="K25" s="11" t="inlineStr"/>
      <c r="L25" s="11" t="inlineStr"/>
      <c r="M25" s="11" t="inlineStr"/>
    </row>
    <row r="26">
      <c r="A26" s="10" t="inlineStr"/>
      <c r="B26" s="10" t="inlineStr"/>
      <c r="C26" s="10" t="inlineStr"/>
      <c r="D26" s="10" t="inlineStr"/>
      <c r="E26" s="10" t="inlineStr"/>
      <c r="F26" s="10" t="inlineStr"/>
      <c r="G26" s="10" t="inlineStr"/>
      <c r="H26" s="10" t="inlineStr"/>
      <c r="I26" s="10" t="inlineStr"/>
      <c r="J26" s="10" t="inlineStr"/>
      <c r="K26" s="10" t="inlineStr"/>
      <c r="L26" s="10" t="inlineStr"/>
      <c r="M26" s="10" t="inlineStr"/>
    </row>
    <row r="27">
      <c r="A27" s="11" t="inlineStr"/>
      <c r="B27" s="11" t="inlineStr"/>
      <c r="C27" s="11" t="inlineStr"/>
      <c r="D27" s="11" t="inlineStr"/>
      <c r="E27" s="11" t="inlineStr"/>
      <c r="F27" s="11" t="inlineStr"/>
      <c r="G27" s="11" t="inlineStr"/>
      <c r="H27" s="11" t="inlineStr"/>
      <c r="I27" s="11" t="inlineStr"/>
      <c r="J27" s="11" t="inlineStr"/>
      <c r="K27" s="11" t="inlineStr"/>
      <c r="L27" s="11" t="inlineStr"/>
      <c r="M27" s="11" t="inlineStr"/>
    </row>
    <row r="28">
      <c r="A28" s="10" t="inlineStr"/>
      <c r="B28" s="10" t="inlineStr"/>
      <c r="C28" s="10" t="inlineStr"/>
      <c r="D28" s="10" t="inlineStr"/>
      <c r="E28" s="10" t="inlineStr"/>
      <c r="F28" s="10" t="inlineStr"/>
      <c r="G28" s="10" t="inlineStr"/>
      <c r="H28" s="10" t="inlineStr"/>
      <c r="I28" s="10" t="inlineStr"/>
      <c r="J28" s="10" t="inlineStr"/>
      <c r="K28" s="10" t="inlineStr"/>
      <c r="L28" s="10" t="inlineStr"/>
      <c r="M28" s="10" t="inlineStr"/>
    </row>
    <row r="29">
      <c r="A29" s="11" t="inlineStr"/>
      <c r="B29" s="11" t="inlineStr"/>
      <c r="C29" s="11" t="inlineStr"/>
      <c r="D29" s="11" t="inlineStr"/>
      <c r="E29" s="11" t="inlineStr"/>
      <c r="F29" s="11" t="inlineStr"/>
      <c r="G29" s="11" t="inlineStr"/>
      <c r="H29" s="11" t="inlineStr"/>
      <c r="I29" s="11" t="inlineStr"/>
      <c r="J29" s="11" t="inlineStr"/>
      <c r="K29" s="11" t="inlineStr"/>
      <c r="L29" s="11" t="inlineStr"/>
      <c r="M29" s="11" t="inlineStr"/>
    </row>
    <row r="30">
      <c r="A30" s="10" t="inlineStr"/>
      <c r="B30" s="10" t="inlineStr"/>
      <c r="C30" s="10" t="inlineStr"/>
      <c r="D30" s="10" t="inlineStr"/>
      <c r="E30" s="10" t="inlineStr"/>
      <c r="F30" s="10" t="inlineStr"/>
      <c r="G30" s="10" t="inlineStr"/>
      <c r="H30" s="10" t="inlineStr"/>
      <c r="I30" s="10" t="inlineStr"/>
      <c r="J30" s="10" t="inlineStr"/>
      <c r="K30" s="10" t="inlineStr"/>
      <c r="L30" s="10" t="inlineStr"/>
      <c r="M30" s="10" t="inlineStr"/>
    </row>
    <row r="31">
      <c r="A31" s="11" t="inlineStr"/>
      <c r="B31" s="11" t="inlineStr"/>
      <c r="C31" s="11" t="inlineStr"/>
      <c r="D31" s="11" t="inlineStr"/>
      <c r="E31" s="11" t="inlineStr"/>
      <c r="F31" s="11" t="inlineStr"/>
      <c r="G31" s="11" t="inlineStr"/>
      <c r="H31" s="11" t="inlineStr"/>
      <c r="I31" s="11" t="inlineStr"/>
      <c r="J31" s="11" t="inlineStr"/>
      <c r="K31" s="11" t="inlineStr"/>
      <c r="L31" s="11" t="inlineStr"/>
      <c r="M31" s="11" t="inlineStr"/>
    </row>
    <row r="32">
      <c r="A32" s="10" t="inlineStr"/>
      <c r="B32" s="10" t="inlineStr"/>
      <c r="C32" s="10" t="inlineStr"/>
      <c r="D32" s="10" t="inlineStr"/>
      <c r="E32" s="10" t="inlineStr"/>
      <c r="F32" s="10" t="inlineStr"/>
      <c r="G32" s="10" t="inlineStr"/>
      <c r="H32" s="10" t="inlineStr"/>
      <c r="I32" s="10" t="inlineStr"/>
      <c r="J32" s="10" t="inlineStr"/>
      <c r="K32" s="10" t="inlineStr"/>
      <c r="L32" s="10" t="inlineStr"/>
      <c r="M32" s="10" t="inlineStr"/>
    </row>
    <row r="33">
      <c r="A33" s="11" t="inlineStr"/>
      <c r="B33" s="11" t="inlineStr"/>
      <c r="C33" s="11" t="inlineStr"/>
      <c r="D33" s="11" t="inlineStr"/>
      <c r="E33" s="11" t="inlineStr"/>
      <c r="F33" s="11" t="inlineStr"/>
      <c r="G33" s="11" t="inlineStr"/>
      <c r="H33" s="11" t="inlineStr"/>
      <c r="I33" s="11" t="inlineStr"/>
      <c r="J33" s="11" t="inlineStr"/>
      <c r="K33" s="11" t="inlineStr"/>
      <c r="L33" s="11" t="inlineStr"/>
      <c r="M33" s="11" t="inlineStr"/>
    </row>
    <row r="34">
      <c r="A34" s="10" t="inlineStr"/>
      <c r="B34" s="10" t="inlineStr"/>
      <c r="C34" s="10" t="inlineStr"/>
      <c r="D34" s="10" t="inlineStr"/>
      <c r="E34" s="10" t="inlineStr"/>
      <c r="F34" s="10" t="inlineStr"/>
      <c r="G34" s="10" t="inlineStr"/>
      <c r="H34" s="10" t="inlineStr"/>
      <c r="I34" s="10" t="inlineStr"/>
      <c r="J34" s="10" t="inlineStr"/>
      <c r="K34" s="10" t="inlineStr"/>
      <c r="L34" s="10" t="inlineStr"/>
      <c r="M34" s="10" t="inlineStr"/>
    </row>
    <row r="35">
      <c r="A35" s="11" t="inlineStr"/>
      <c r="B35" s="11" t="inlineStr"/>
      <c r="C35" s="11" t="inlineStr"/>
      <c r="D35" s="11" t="inlineStr"/>
      <c r="E35" s="11" t="inlineStr"/>
      <c r="F35" s="11" t="inlineStr"/>
      <c r="G35" s="11" t="inlineStr"/>
      <c r="H35" s="11" t="inlineStr"/>
      <c r="I35" s="11" t="inlineStr"/>
      <c r="J35" s="11" t="inlineStr"/>
      <c r="K35" s="11" t="inlineStr"/>
      <c r="L35" s="11" t="inlineStr"/>
      <c r="M35" s="11" t="inlineStr"/>
    </row>
    <row r="36">
      <c r="A36" s="10" t="inlineStr"/>
      <c r="B36" s="10" t="inlineStr"/>
      <c r="C36" s="10" t="inlineStr"/>
      <c r="D36" s="10" t="inlineStr"/>
      <c r="E36" s="10" t="inlineStr"/>
      <c r="F36" s="10" t="inlineStr"/>
      <c r="G36" s="10" t="inlineStr"/>
      <c r="H36" s="10" t="inlineStr"/>
      <c r="I36" s="10" t="inlineStr"/>
      <c r="J36" s="10" t="inlineStr"/>
      <c r="K36" s="10" t="inlineStr"/>
      <c r="L36" s="10" t="inlineStr"/>
      <c r="M36" s="10" t="inlineStr"/>
    </row>
    <row r="37">
      <c r="A37" s="11" t="inlineStr"/>
      <c r="B37" s="11" t="inlineStr"/>
      <c r="C37" s="11" t="inlineStr"/>
      <c r="D37" s="11" t="inlineStr"/>
      <c r="E37" s="11" t="inlineStr"/>
      <c r="F37" s="11" t="inlineStr"/>
      <c r="G37" s="11" t="inlineStr"/>
      <c r="H37" s="11" t="inlineStr"/>
      <c r="I37" s="11" t="inlineStr"/>
      <c r="J37" s="11" t="inlineStr"/>
      <c r="K37" s="11" t="inlineStr"/>
      <c r="L37" s="11" t="inlineStr"/>
      <c r="M37" s="11" t="inlineStr"/>
    </row>
    <row r="38">
      <c r="A38" s="10" t="inlineStr"/>
      <c r="B38" s="10" t="inlineStr"/>
      <c r="C38" s="10" t="inlineStr"/>
      <c r="D38" s="10" t="inlineStr"/>
      <c r="E38" s="10" t="inlineStr"/>
      <c r="F38" s="10" t="inlineStr"/>
      <c r="G38" s="10" t="inlineStr"/>
      <c r="H38" s="10" t="inlineStr"/>
      <c r="I38" s="10" t="inlineStr"/>
      <c r="J38" s="10" t="inlineStr"/>
      <c r="K38" s="10" t="inlineStr"/>
      <c r="L38" s="10" t="inlineStr"/>
      <c r="M38" s="10" t="inlineStr"/>
    </row>
    <row r="39">
      <c r="A39" s="11" t="inlineStr"/>
      <c r="B39" s="11" t="inlineStr"/>
      <c r="C39" s="11" t="inlineStr"/>
      <c r="D39" s="11" t="inlineStr"/>
      <c r="E39" s="11" t="inlineStr"/>
      <c r="F39" s="11" t="inlineStr"/>
      <c r="G39" s="11" t="inlineStr"/>
      <c r="H39" s="11" t="inlineStr"/>
      <c r="I39" s="11" t="inlineStr"/>
      <c r="J39" s="11" t="inlineStr"/>
      <c r="K39" s="11" t="inlineStr"/>
      <c r="L39" s="11" t="inlineStr"/>
      <c r="M39" s="11" t="inlineStr"/>
    </row>
    <row r="40">
      <c r="A40" s="10" t="inlineStr"/>
      <c r="B40" s="10" t="inlineStr"/>
      <c r="C40" s="10" t="inlineStr"/>
      <c r="D40" s="10" t="inlineStr"/>
      <c r="E40" s="10" t="inlineStr"/>
      <c r="F40" s="10" t="inlineStr"/>
      <c r="G40" s="10" t="inlineStr"/>
      <c r="H40" s="10" t="inlineStr"/>
      <c r="I40" s="10" t="inlineStr"/>
      <c r="J40" s="10" t="inlineStr"/>
      <c r="K40" s="10" t="inlineStr"/>
      <c r="L40" s="10" t="inlineStr"/>
      <c r="M40" s="10" t="inlineStr"/>
    </row>
    <row r="41">
      <c r="A41" s="11" t="inlineStr"/>
      <c r="B41" s="11" t="inlineStr"/>
      <c r="C41" s="11" t="inlineStr"/>
      <c r="D41" s="11" t="inlineStr"/>
      <c r="E41" s="11" t="inlineStr"/>
      <c r="F41" s="11" t="inlineStr"/>
      <c r="G41" s="11" t="inlineStr"/>
      <c r="H41" s="11" t="inlineStr"/>
      <c r="I41" s="11" t="inlineStr"/>
      <c r="J41" s="11" t="inlineStr"/>
      <c r="K41" s="11" t="inlineStr"/>
      <c r="L41" s="11" t="inlineStr"/>
      <c r="M41" s="11" t="inlineStr"/>
    </row>
    <row r="42">
      <c r="A42" s="10" t="inlineStr"/>
      <c r="B42" s="10" t="inlineStr"/>
      <c r="C42" s="10" t="inlineStr"/>
      <c r="D42" s="10" t="inlineStr"/>
      <c r="E42" s="10" t="inlineStr"/>
      <c r="F42" s="10" t="inlineStr"/>
      <c r="G42" s="10" t="inlineStr"/>
      <c r="H42" s="10" t="inlineStr"/>
      <c r="I42" s="10" t="inlineStr"/>
      <c r="J42" s="10" t="inlineStr"/>
      <c r="K42" s="10" t="inlineStr"/>
      <c r="L42" s="10" t="inlineStr"/>
      <c r="M42" s="10" t="inlineStr"/>
    </row>
    <row r="43">
      <c r="A43" s="11" t="inlineStr"/>
      <c r="B43" s="11" t="inlineStr"/>
      <c r="C43" s="11" t="inlineStr"/>
      <c r="D43" s="11" t="inlineStr"/>
      <c r="E43" s="11" t="inlineStr"/>
      <c r="F43" s="11" t="inlineStr"/>
      <c r="G43" s="11" t="inlineStr"/>
      <c r="H43" s="11" t="inlineStr"/>
      <c r="I43" s="11" t="inlineStr"/>
      <c r="J43" s="11" t="inlineStr"/>
      <c r="K43" s="11" t="inlineStr"/>
      <c r="L43" s="11" t="inlineStr"/>
      <c r="M43" s="11" t="inlineStr"/>
    </row>
    <row r="44">
      <c r="A44" s="10" t="inlineStr"/>
      <c r="B44" s="10" t="inlineStr"/>
      <c r="C44" s="10" t="inlineStr"/>
      <c r="D44" s="10" t="inlineStr"/>
      <c r="E44" s="10" t="inlineStr"/>
      <c r="F44" s="10" t="inlineStr"/>
      <c r="G44" s="10" t="inlineStr"/>
      <c r="H44" s="10" t="inlineStr"/>
      <c r="I44" s="10" t="inlineStr"/>
      <c r="J44" s="10" t="inlineStr"/>
      <c r="K44" s="10" t="inlineStr"/>
      <c r="L44" s="10" t="inlineStr"/>
      <c r="M44" s="10" t="inlineStr"/>
    </row>
    <row r="45">
      <c r="A45" s="11" t="inlineStr"/>
      <c r="B45" s="11" t="inlineStr"/>
      <c r="C45" s="11" t="inlineStr"/>
      <c r="D45" s="11" t="inlineStr"/>
      <c r="E45" s="11" t="inlineStr"/>
      <c r="F45" s="11" t="inlineStr"/>
      <c r="G45" s="11" t="inlineStr"/>
      <c r="H45" s="11" t="inlineStr"/>
      <c r="I45" s="11" t="inlineStr"/>
      <c r="J45" s="11" t="inlineStr"/>
      <c r="K45" s="11" t="inlineStr"/>
      <c r="L45" s="11" t="inlineStr"/>
      <c r="M45" s="11" t="inlineStr"/>
    </row>
    <row r="46">
      <c r="A46" s="10" t="inlineStr"/>
      <c r="B46" s="10" t="inlineStr"/>
      <c r="C46" s="10" t="inlineStr"/>
      <c r="D46" s="10" t="inlineStr"/>
      <c r="E46" s="10" t="inlineStr"/>
      <c r="F46" s="10" t="inlineStr"/>
      <c r="G46" s="10" t="inlineStr"/>
      <c r="H46" s="10" t="inlineStr"/>
      <c r="I46" s="10" t="inlineStr"/>
      <c r="J46" s="10" t="inlineStr"/>
      <c r="K46" s="10" t="inlineStr"/>
      <c r="L46" s="10" t="inlineStr"/>
      <c r="M46" s="10" t="inlineStr"/>
    </row>
    <row r="47">
      <c r="A47" s="11" t="inlineStr"/>
      <c r="B47" s="11" t="inlineStr"/>
      <c r="C47" s="11" t="inlineStr"/>
      <c r="D47" s="11" t="inlineStr"/>
      <c r="E47" s="11" t="inlineStr"/>
      <c r="F47" s="11" t="inlineStr"/>
      <c r="G47" s="11" t="inlineStr"/>
      <c r="H47" s="11" t="inlineStr"/>
      <c r="I47" s="11" t="inlineStr"/>
      <c r="J47" s="11" t="inlineStr"/>
      <c r="K47" s="11" t="inlineStr"/>
      <c r="L47" s="11" t="inlineStr"/>
      <c r="M47" s="11" t="inlineStr"/>
    </row>
    <row r="48">
      <c r="A48" s="10" t="inlineStr"/>
      <c r="B48" s="10" t="inlineStr"/>
      <c r="C48" s="10" t="inlineStr"/>
      <c r="D48" s="10" t="inlineStr"/>
      <c r="E48" s="10" t="inlineStr"/>
      <c r="F48" s="10" t="inlineStr"/>
      <c r="G48" s="10" t="inlineStr"/>
      <c r="H48" s="10" t="inlineStr"/>
      <c r="I48" s="10" t="inlineStr"/>
      <c r="J48" s="10" t="inlineStr"/>
      <c r="K48" s="10" t="inlineStr"/>
      <c r="L48" s="10" t="inlineStr"/>
      <c r="M48" s="10" t="inlineStr"/>
    </row>
    <row r="49">
      <c r="A49" s="11" t="inlineStr"/>
      <c r="B49" s="11" t="inlineStr"/>
      <c r="C49" s="11" t="inlineStr"/>
      <c r="D49" s="11" t="inlineStr"/>
      <c r="E49" s="11" t="inlineStr"/>
      <c r="F49" s="11" t="inlineStr"/>
      <c r="G49" s="11" t="inlineStr"/>
      <c r="H49" s="11" t="inlineStr"/>
      <c r="I49" s="11" t="inlineStr"/>
      <c r="J49" s="11" t="inlineStr"/>
      <c r="K49" s="11" t="inlineStr"/>
      <c r="L49" s="11" t="inlineStr"/>
      <c r="M49" s="11" t="inlineStr"/>
    </row>
    <row r="50">
      <c r="A50" s="10" t="inlineStr"/>
      <c r="B50" s="10" t="inlineStr"/>
      <c r="C50" s="10" t="inlineStr"/>
      <c r="D50" s="10" t="inlineStr"/>
      <c r="E50" s="10" t="inlineStr"/>
      <c r="F50" s="10" t="inlineStr"/>
      <c r="G50" s="10" t="inlineStr"/>
      <c r="H50" s="10" t="inlineStr"/>
      <c r="I50" s="10" t="inlineStr"/>
      <c r="J50" s="10" t="inlineStr"/>
      <c r="K50" s="10" t="inlineStr"/>
      <c r="L50" s="10" t="inlineStr"/>
      <c r="M50" s="10" t="inlineStr"/>
    </row>
    <row r="51">
      <c r="A51" s="11" t="inlineStr"/>
      <c r="B51" s="11" t="inlineStr"/>
      <c r="C51" s="11" t="inlineStr"/>
      <c r="D51" s="11" t="inlineStr"/>
      <c r="E51" s="11" t="inlineStr"/>
      <c r="F51" s="11" t="inlineStr"/>
      <c r="G51" s="11" t="inlineStr"/>
      <c r="H51" s="11" t="inlineStr"/>
      <c r="I51" s="11" t="inlineStr"/>
      <c r="J51" s="11" t="inlineStr"/>
      <c r="K51" s="11" t="inlineStr"/>
      <c r="L51" s="11" t="inlineStr"/>
      <c r="M51" s="11" t="inlineStr"/>
    </row>
    <row r="52">
      <c r="A52" s="10" t="inlineStr"/>
      <c r="B52" s="10" t="inlineStr"/>
      <c r="C52" s="10" t="inlineStr"/>
      <c r="D52" s="10" t="inlineStr"/>
      <c r="E52" s="10" t="inlineStr"/>
      <c r="F52" s="10" t="inlineStr"/>
      <c r="G52" s="10" t="inlineStr"/>
      <c r="H52" s="10" t="inlineStr"/>
      <c r="I52" s="10" t="inlineStr"/>
      <c r="J52" s="10" t="inlineStr"/>
      <c r="K52" s="10" t="inlineStr"/>
      <c r="L52" s="10" t="inlineStr"/>
      <c r="M52" s="10" t="inlineStr"/>
    </row>
    <row r="53">
      <c r="A53" s="11" t="inlineStr"/>
      <c r="B53" s="11" t="inlineStr"/>
      <c r="C53" s="11" t="inlineStr"/>
      <c r="D53" s="11" t="inlineStr"/>
      <c r="E53" s="11" t="inlineStr"/>
      <c r="F53" s="11" t="inlineStr"/>
      <c r="G53" s="11" t="inlineStr"/>
      <c r="H53" s="11" t="inlineStr"/>
      <c r="I53" s="11" t="inlineStr"/>
      <c r="J53" s="11" t="inlineStr"/>
      <c r="K53" s="11" t="inlineStr"/>
      <c r="L53" s="11" t="inlineStr"/>
      <c r="M53" s="11" t="inlineStr"/>
    </row>
    <row r="54">
      <c r="A54" s="10" t="inlineStr"/>
      <c r="B54" s="10" t="inlineStr"/>
      <c r="C54" s="10" t="inlineStr"/>
      <c r="D54" s="10" t="inlineStr"/>
      <c r="E54" s="10" t="inlineStr"/>
      <c r="F54" s="10" t="inlineStr"/>
      <c r="G54" s="10" t="inlineStr"/>
      <c r="H54" s="10" t="inlineStr"/>
      <c r="I54" s="10" t="inlineStr"/>
      <c r="J54" s="10" t="inlineStr"/>
      <c r="K54" s="10" t="inlineStr"/>
      <c r="L54" s="10" t="inlineStr"/>
      <c r="M54" s="10" t="inlineStr"/>
    </row>
    <row r="55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</row>
  </sheetData>
  <conditionalFormatting sqref="H6:H200">
    <cfRule type="expression" priority="1" dxfId="0">
      <formula>H6="Go"</formula>
    </cfRule>
    <cfRule type="expression" priority="2" dxfId="1">
      <formula>H6="Wait"</formula>
    </cfRule>
    <cfRule type="expression" priority="3" dxfId="2">
      <formula>H6="No-Go"</formula>
    </cfRule>
  </conditionalFormatting>
  <dataValidations count="6">
    <dataValidation sqref="C6:C200" showDropDown="0" showInputMessage="0" showErrorMessage="0" allowBlank="1" type="list">
      <formula1>"Roofing,HVAC,Plumbing,Electrical,Landscaping,Pest,Painting,Garage Door,Pool,Masonry/Concrete,Other"</formula1>
    </dataValidation>
    <dataValidation sqref="D6:D200" showDropDown="0" showInputMessage="0" showErrorMessage="0" allowBlank="1" type="list">
      <formula1>"Under $2M,$2M-$4M,$4M-$8M,$8M-$20M,Over $20M,Unknown"</formula1>
    </dataValidation>
    <dataValidation sqref="F6:F200" showDropDown="0" showInputMessage="0" showErrorMessage="0" allowBlank="1" type="list">
      <formula1>"LinkedIn,Referral,Inbound,Warm Intro,Event,Partner,Other"</formula1>
    </dataValidation>
    <dataValidation sqref="G6:G200" showDropDown="0" showInputMessage="0" showErrorMessage="0" allowBlank="1" type="list">
      <formula1>"Identified,Connection Sent,Connected,Discovery Booked,Intake Sent,OPS Assessment,Proposal Sent,Closed Won,Closed Lost,Nurture"</formula1>
    </dataValidation>
    <dataValidation sqref="H6:H200" showDropDown="0" showInputMessage="0" showErrorMessage="0" allowBlank="1" type="list">
      <formula1>"Go,Wait,No-Go,Unknown"</formula1>
    </dataValidation>
    <dataValidation sqref="L6:L200" showDropDown="0" showInputMessage="0" showErrorMessage="0" allowBlank="1" type="list">
      <formula1>"Unknown,Weak,Moderate,Strong"</formula1>
    </dataValidation>
  </dataValidations>
  <pageMargins left="0.3" right="0.3" top="0.5" bottom="0.5" header="0.5" footer="0.5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14B981"/>
    <outlinePr summaryBelow="1" summaryRight="1"/>
    <pageSetUpPr/>
  </sheetPr>
  <dimension ref="A1:M18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8" customWidth="1" min="4" max="4"/>
    <col width="12" customWidth="1" min="5" max="5"/>
    <col width="24" customWidth="1" min="7" max="7"/>
    <col width="28" customWidth="1" min="8" max="8"/>
  </cols>
  <sheetData>
    <row r="1">
      <c r="A1" s="1" t="inlineStr">
        <is>
          <t>framework/ops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Prospect Fit Scorecard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4" t="inlineStr">
        <is>
          <t>Score before you spend serious time. Three buying triggers plus affordability and implementation capacity matter most.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14" t="inlineStr">
        <is>
          <t>Prospect / Company</t>
        </is>
      </c>
      <c r="B6" s="15" t="inlineStr"/>
      <c r="C6" s="2" t="n"/>
      <c r="D6" s="16" t="inlineStr">
        <is>
          <t>Owner approves every estimate/discount</t>
        </is>
      </c>
      <c r="E6" s="17" t="inlineStr">
        <is>
          <t>No</t>
        </is>
      </c>
      <c r="F6" s="2" t="n"/>
      <c r="G6" s="18" t="inlineStr">
        <is>
          <t>Fit outputs</t>
        </is>
      </c>
      <c r="H6" s="2" t="n"/>
      <c r="I6" s="2" t="n"/>
      <c r="J6" s="2" t="n"/>
      <c r="K6" s="2" t="n"/>
      <c r="L6" s="2" t="n"/>
      <c r="M6" s="2" t="n"/>
    </row>
    <row r="7">
      <c r="A7" s="14" t="inlineStr">
        <is>
          <t>Annual revenue</t>
        </is>
      </c>
      <c r="B7" s="25" t="n">
        <v>3000000</v>
      </c>
      <c r="C7" s="2" t="n"/>
      <c r="D7" s="16" t="inlineStr">
        <is>
          <t>Declining gross margin</t>
        </is>
      </c>
      <c r="E7" s="17" t="inlineStr">
        <is>
          <t>No</t>
        </is>
      </c>
      <c r="F7" s="2" t="n"/>
      <c r="G7" s="20" t="inlineStr">
        <is>
          <t>Monthly gross profit</t>
        </is>
      </c>
      <c r="H7" s="26">
        <f>B7*B8/12</f>
        <v/>
      </c>
      <c r="I7" s="2" t="n"/>
      <c r="J7" s="2" t="n"/>
      <c r="K7" s="2" t="n"/>
      <c r="L7" s="2" t="n"/>
      <c r="M7" s="2" t="n"/>
    </row>
    <row r="8">
      <c r="A8" s="14" t="inlineStr">
        <is>
          <t>Gross margin %</t>
        </is>
      </c>
      <c r="B8" s="27" t="n">
        <v>0.38</v>
      </c>
      <c r="C8" s="2" t="n"/>
      <c r="D8" s="16" t="inlineStr">
        <is>
          <t>Near miss on payroll/cash strain</t>
        </is>
      </c>
      <c r="E8" s="17" t="inlineStr">
        <is>
          <t>No</t>
        </is>
      </c>
      <c r="F8" s="2" t="n"/>
      <c r="G8" s="20" t="inlineStr">
        <is>
          <t>Monthly net profit</t>
        </is>
      </c>
      <c r="H8" s="26">
        <f>B7*B9/12</f>
        <v/>
      </c>
      <c r="I8" s="2" t="n"/>
      <c r="J8" s="2" t="n"/>
      <c r="K8" s="2" t="n"/>
      <c r="L8" s="2" t="n"/>
      <c r="M8" s="2" t="n"/>
    </row>
    <row r="9">
      <c r="A9" s="14" t="inlineStr">
        <is>
          <t>Net profit %</t>
        </is>
      </c>
      <c r="B9" s="27" t="n">
        <v>0.1</v>
      </c>
      <c r="C9" s="2" t="n"/>
      <c r="D9" s="16" t="inlineStr">
        <is>
          <t>Key person departure risk</t>
        </is>
      </c>
      <c r="E9" s="17" t="inlineStr">
        <is>
          <t>No</t>
        </is>
      </c>
      <c r="F9" s="2" t="n"/>
      <c r="G9" s="20" t="inlineStr">
        <is>
          <t>Buying triggers</t>
        </is>
      </c>
      <c r="H9" s="23">
        <f>COUNTIF(E6:E13,"Yes")</f>
        <v/>
      </c>
      <c r="I9" s="2" t="n"/>
      <c r="J9" s="2" t="n"/>
      <c r="K9" s="2" t="n"/>
      <c r="L9" s="2" t="n"/>
      <c r="M9" s="2" t="n"/>
    </row>
    <row r="10">
      <c r="A10" s="14" t="inlineStr">
        <is>
          <t>Employee count</t>
        </is>
      </c>
      <c r="B10" s="15" t="n">
        <v>18</v>
      </c>
      <c r="C10" s="2" t="n"/>
      <c r="D10" s="16" t="inlineStr">
        <is>
          <t>Unused software</t>
        </is>
      </c>
      <c r="E10" s="17" t="inlineStr">
        <is>
          <t>No</t>
        </is>
      </c>
      <c r="F10" s="2" t="n"/>
      <c r="G10" s="20" t="inlineStr">
        <is>
          <t>Revenue fit</t>
        </is>
      </c>
      <c r="H10" s="23">
        <f>IF(B7&lt;2000000,"No-Go",IF(B7&gt;20000000,"No-Go",IF(B7&lt;8000000,"Sweet Spot","Viable")))</f>
        <v/>
      </c>
      <c r="I10" s="2" t="n"/>
      <c r="J10" s="2" t="n"/>
      <c r="K10" s="2" t="n"/>
      <c r="L10" s="2" t="n"/>
      <c r="M10" s="2" t="n"/>
    </row>
    <row r="11">
      <c r="A11" s="14" t="inlineStr">
        <is>
          <t>Office staff count</t>
        </is>
      </c>
      <c r="B11" s="15" t="n">
        <v>2</v>
      </c>
      <c r="C11" s="2" t="n"/>
      <c r="D11" s="16" t="inlineStr">
        <is>
          <t>No vacation in 2+ years</t>
        </is>
      </c>
      <c r="E11" s="17" t="inlineStr">
        <is>
          <t>No</t>
        </is>
      </c>
      <c r="F11" s="2" t="n"/>
      <c r="G11" s="20" t="inlineStr">
        <is>
          <t>Disqualifier</t>
        </is>
      </c>
      <c r="H11" s="23">
        <f>IF(OR(B16="Yes",B17="Yes"),"Yes","No")</f>
        <v/>
      </c>
      <c r="I11" s="2" t="n"/>
      <c r="J11" s="2" t="n"/>
      <c r="K11" s="2" t="n"/>
      <c r="L11" s="2" t="n"/>
      <c r="M11" s="2" t="n"/>
    </row>
    <row r="12">
      <c r="A12" s="14" t="inlineStr">
        <is>
          <t>Owner hours/week</t>
        </is>
      </c>
      <c r="B12" s="15" t="n">
        <v>62</v>
      </c>
      <c r="C12" s="2" t="n"/>
      <c r="D12" s="16" t="inlineStr">
        <is>
          <t>Failed ops/COO hire</t>
        </is>
      </c>
      <c r="E12" s="17" t="inlineStr">
        <is>
          <t>No</t>
        </is>
      </c>
      <c r="F12" s="2" t="n"/>
      <c r="G12" s="20" t="inlineStr">
        <is>
          <t>Recommended flag</t>
        </is>
      </c>
      <c r="H12" s="23">
        <f>IF(G10="Yes","No-Go",IF(OR(B14&lt;&gt;"Yes",B15&lt;&gt;"Yes"),"No-Go",IF(G8&gt;=3,"Go","Wait")))</f>
        <v/>
      </c>
      <c r="I12" s="2" t="n"/>
      <c r="J12" s="2" t="n"/>
      <c r="K12" s="2" t="n"/>
      <c r="L12" s="2" t="n"/>
      <c r="M12" s="2" t="n"/>
    </row>
    <row r="13">
      <c r="A13" s="14" t="inlineStr">
        <is>
          <t>Home-service trade?</t>
        </is>
      </c>
      <c r="B13" s="15" t="inlineStr">
        <is>
          <t>Yes</t>
        </is>
      </c>
      <c r="C13" s="2" t="n"/>
      <c r="D13" s="16" t="inlineStr">
        <is>
          <t>Crossed $3M/$5M/$10M milestone</t>
        </is>
      </c>
      <c r="E13" s="17" t="inlineStr">
        <is>
          <t>No</t>
        </is>
      </c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14" t="inlineStr">
        <is>
          <t>Owner decision maker?</t>
        </is>
      </c>
      <c r="B14" s="15" t="inlineStr">
        <is>
          <t>Yes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14" t="inlineStr">
        <is>
          <t>Implementation owner exists?</t>
        </is>
      </c>
      <c r="B15" s="15" t="inlineStr">
        <is>
          <t>Yes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14" t="inlineStr">
        <is>
          <t>Active turnaround / losing money?</t>
        </is>
      </c>
      <c r="B16" s="15" t="inlineStr">
        <is>
          <t>No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14" t="inlineStr">
        <is>
          <t>Consultant carousel history?</t>
        </is>
      </c>
      <c r="B17" s="15" t="inlineStr">
        <is>
          <t>No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14" t="inlineStr">
        <is>
          <t>Budget signal</t>
        </is>
      </c>
      <c r="B18" s="15" t="inlineStr">
        <is>
          <t>Moderate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</sheetData>
  <conditionalFormatting sqref="H12">
    <cfRule type="expression" priority="1" dxfId="0">
      <formula>H12="Go"</formula>
    </cfRule>
    <cfRule type="expression" priority="2" dxfId="1">
      <formula>H12="Wait"</formula>
    </cfRule>
    <cfRule type="expression" priority="3" dxfId="2">
      <formula>H12="No-Go"</formula>
    </cfRule>
  </conditionalFormatting>
  <dataValidations count="2">
    <dataValidation sqref="B13:B17" showDropDown="0" showInputMessage="0" showErrorMessage="0" allowBlank="1" type="list">
      <formula1>"Yes,No,Unknown"</formula1>
    </dataValidation>
    <dataValidation sqref="E6:E13" showDropDown="0" showInputMessage="0" showErrorMessage="0" allowBlank="1" type="list">
      <formula1>"Yes,No,Unknown"</formula1>
    </dataValidation>
  </dataValidations>
  <pageMargins left="0.3" right="0.3" top="0.5" bottom="0.5" header="0.5" footer="0.5"/>
  <pageSetup orientation="landscape"/>
</worksheet>
</file>

<file path=xl/worksheets/sheet4.xml><?xml version="1.0" encoding="utf-8"?>
<worksheet xmlns="http://schemas.openxmlformats.org/spreadsheetml/2006/main">
  <sheetPr>
    <tabColor rgb="002563EB"/>
    <outlinePr summaryBelow="1" summaryRight="1"/>
    <pageSetUpPr/>
  </sheetPr>
  <dimension ref="A1:M25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60" customWidth="1" min="3" max="3"/>
    <col width="18" customWidth="1" min="4" max="4"/>
  </cols>
  <sheetData>
    <row r="1">
      <c r="A1" s="1" t="inlineStr">
        <is>
          <t>framework/ops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Discovery Call Sheet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4" t="inlineStr">
        <is>
          <t>30-45 minute qualification call. Direct, not coy. Capture facts and pain in the owner's words.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 s="9" t="inlineStr">
        <is>
          <t>Section</t>
        </is>
      </c>
      <c r="B5" s="9" t="inlineStr">
        <is>
          <t>Question</t>
        </is>
      </c>
      <c r="C5" s="9" t="inlineStr">
        <is>
          <t>Answer / Notes</t>
        </is>
      </c>
      <c r="D5" s="9" t="inlineStr">
        <is>
          <t>Signal</t>
        </is>
      </c>
      <c r="E5" s="9" t="n"/>
      <c r="F5" s="9" t="n"/>
      <c r="G5" s="9" t="n"/>
      <c r="H5" s="9" t="n"/>
      <c r="I5" s="9" t="n"/>
      <c r="J5" s="9" t="n"/>
      <c r="K5" s="9" t="n"/>
      <c r="L5" s="9" t="n"/>
      <c r="M5" s="9" t="n"/>
    </row>
    <row r="6">
      <c r="A6" s="10" t="inlineStr">
        <is>
          <t>Business basics</t>
        </is>
      </c>
      <c r="B6" s="10" t="inlineStr">
        <is>
          <t>Trailing 12-month revenue?</t>
        </is>
      </c>
      <c r="C6" s="10" t="inlineStr"/>
      <c r="D6" s="10" t="inlineStr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11" t="inlineStr">
        <is>
          <t>Business basics</t>
        </is>
      </c>
      <c r="B7" s="11" t="inlineStr">
        <is>
          <t>Trade, service mix, geography, seasonality?</t>
        </is>
      </c>
      <c r="C7" s="11" t="inlineStr"/>
      <c r="D7" s="11" t="inlineStr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10" t="inlineStr">
        <is>
          <t>People</t>
        </is>
      </c>
      <c r="B8" s="10" t="inlineStr">
        <is>
          <t>Employee count and office staff count?</t>
        </is>
      </c>
      <c r="C8" s="10" t="inlineStr"/>
      <c r="D8" s="10" t="inlineStr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11" t="inlineStr">
        <is>
          <t>Owner role</t>
        </is>
      </c>
      <c r="B9" s="11" t="inlineStr">
        <is>
          <t>Where is the owner still personally required?</t>
        </is>
      </c>
      <c r="C9" s="11" t="inlineStr"/>
      <c r="D9" s="11" t="inlineStr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10" t="inlineStr">
        <is>
          <t>Pain</t>
        </is>
      </c>
      <c r="B10" s="10" t="inlineStr">
        <is>
          <t>Top 3 operational problems in owner's words?</t>
        </is>
      </c>
      <c r="C10" s="10" t="inlineStr"/>
      <c r="D10" s="10" t="inlineStr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11" t="inlineStr">
        <is>
          <t>Financial</t>
        </is>
      </c>
      <c r="B11" s="11" t="inlineStr">
        <is>
          <t>Gross margin %, net profit %, cash position?</t>
        </is>
      </c>
      <c r="C11" s="11" t="inlineStr"/>
      <c r="D11" s="11" t="inlineStr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10" t="inlineStr">
        <is>
          <t>Sales</t>
        </is>
      </c>
      <c r="B12" s="10" t="inlineStr">
        <is>
          <t>Close rate, sales cycle, lead sources, owner approval points?</t>
        </is>
      </c>
      <c r="C12" s="10" t="inlineStr"/>
      <c r="D12" s="10" t="inlineStr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11" t="inlineStr">
        <is>
          <t>Tech stack</t>
        </is>
      </c>
      <c r="B13" s="11" t="inlineStr">
        <is>
          <t>FSM/CRM/QBO/tools in use and actual adoption?</t>
        </is>
      </c>
      <c r="C13" s="11" t="inlineStr"/>
      <c r="D13" s="11" t="inlineStr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10" t="inlineStr">
        <is>
          <t>Implementation</t>
        </is>
      </c>
      <c r="B14" s="10" t="inlineStr">
        <is>
          <t>Who can help implement changes weekly?</t>
        </is>
      </c>
      <c r="C14" s="10" t="inlineStr"/>
      <c r="D14" s="10" t="inlineStr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11" t="inlineStr">
        <is>
          <t>Budget</t>
        </is>
      </c>
      <c r="B15" s="11" t="inlineStr">
        <is>
          <t>What budget range has the owner already considered?</t>
        </is>
      </c>
      <c r="C15" s="11" t="inlineStr"/>
      <c r="D15" s="11" t="inlineStr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10" t="inlineStr">
        <is>
          <t>Red flags</t>
        </is>
      </c>
      <c r="B16" s="10" t="inlineStr">
        <is>
          <t>Prior consultant carousel, blame, culture issue, active turnaround?</t>
        </is>
      </c>
      <c r="C16" s="10" t="inlineStr"/>
      <c r="D16" s="10" t="inlineStr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11" t="inlineStr">
        <is>
          <t>Next step</t>
        </is>
      </c>
      <c r="B17" s="11" t="inlineStr">
        <is>
          <t>Go / Wait / No-Go and why?</t>
        </is>
      </c>
      <c r="C17" s="11" t="inlineStr"/>
      <c r="D17" s="11" t="inlineStr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10" t="inlineStr"/>
      <c r="B18" s="10" t="inlineStr"/>
      <c r="C18" s="10" t="inlineStr"/>
      <c r="D18" s="10" t="inlineStr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11" t="inlineStr"/>
      <c r="B19" s="11" t="inlineStr"/>
      <c r="C19" s="11" t="inlineStr"/>
      <c r="D19" s="11" t="inlineStr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10" t="inlineStr"/>
      <c r="B20" s="10" t="inlineStr"/>
      <c r="C20" s="10" t="inlineStr"/>
      <c r="D20" s="10" t="inlineStr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11" t="inlineStr"/>
      <c r="B21" s="11" t="inlineStr"/>
      <c r="C21" s="11" t="inlineStr"/>
      <c r="D21" s="11" t="inlineStr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10" t="inlineStr"/>
      <c r="B22" s="10" t="inlineStr"/>
      <c r="C22" s="10" t="inlineStr"/>
      <c r="D22" s="10" t="inlineStr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11" t="inlineStr"/>
      <c r="B23" s="11" t="inlineStr"/>
      <c r="C23" s="11" t="inlineStr"/>
      <c r="D23" s="11" t="inlineStr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10" t="inlineStr"/>
      <c r="B24" s="10" t="inlineStr"/>
      <c r="C24" s="10" t="inlineStr"/>
      <c r="D24" s="10" t="inlineStr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inlineStr"/>
      <c r="B25" s="2" t="inlineStr"/>
      <c r="C25" s="2" t="inlineStr"/>
      <c r="D25" s="2" t="inlineStr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</sheetData>
  <pageMargins left="0.3" right="0.3" top="0.5" bottom="0.5" header="0.5" footer="0.5"/>
  <pageSetup orientation="landscape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B7791F"/>
    <outlinePr summaryBelow="1" summaryRight="1"/>
    <pageSetUpPr/>
  </sheetPr>
  <dimension ref="A1:M14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6" customWidth="1" min="3" max="3"/>
    <col width="50" customWidth="1" min="4" max="4"/>
    <col width="50" customWidth="1" min="5" max="5"/>
  </cols>
  <sheetData>
    <row r="1">
      <c r="A1" s="1" t="inlineStr">
        <is>
          <t>framework/ops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Offer Router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4" t="inlineStr">
        <is>
          <t>Route prospects to one recommended starting point. Do not present a tier menu in proposals.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 s="9" t="inlineStr">
        <is>
          <t>Condition</t>
        </is>
      </c>
      <c r="B5" s="9" t="inlineStr">
        <is>
          <t>Default recommendation</t>
        </is>
      </c>
      <c r="C5" s="9" t="inlineStr">
        <is>
          <t>Price</t>
        </is>
      </c>
      <c r="D5" s="9" t="inlineStr">
        <is>
          <t>Why</t>
        </is>
      </c>
      <c r="E5" s="9" t="inlineStr">
        <is>
          <t>Do not do</t>
        </is>
      </c>
      <c r="F5" s="9" t="n"/>
      <c r="G5" s="9" t="n"/>
      <c r="H5" s="9" t="n"/>
      <c r="I5" s="9" t="n"/>
      <c r="J5" s="9" t="n"/>
      <c r="K5" s="9" t="n"/>
      <c r="L5" s="9" t="n"/>
      <c r="M5" s="9" t="n"/>
    </row>
    <row r="6">
      <c r="A6" s="10" t="inlineStr">
        <is>
          <t>Curious about AI; weak process clarity</t>
        </is>
      </c>
      <c r="B6" s="10" t="inlineStr">
        <is>
          <t>AI Readiness Assessment</t>
        </is>
      </c>
      <c r="C6" s="10" t="inlineStr">
        <is>
          <t>$297</t>
        </is>
      </c>
      <c r="D6" s="10" t="inlineStr">
        <is>
          <t>Low-friction first engagement; surfaces automation opportunities</t>
        </is>
      </c>
      <c r="E6" s="10" t="inlineStr">
        <is>
          <t>Do not promise automation before the manual process is stable.</t>
        </is>
      </c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11" t="inlineStr">
        <is>
          <t>Software bought but underused</t>
        </is>
      </c>
      <c r="B7" s="11" t="inlineStr">
        <is>
          <t>Tech Stack Audit</t>
        </is>
      </c>
      <c r="C7" s="11" t="inlineStr">
        <is>
          <t>$497</t>
        </is>
      </c>
      <c r="D7" s="11" t="inlineStr">
        <is>
          <t>Identifies waste, gaps, and adoption problems</t>
        </is>
      </c>
      <c r="E7" s="11" t="inlineStr">
        <is>
          <t>Do not recommend new tools before auditing current stack.</t>
        </is>
      </c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10" t="inlineStr">
        <is>
          <t>Qualified owner with unclear root causes</t>
        </is>
      </c>
      <c r="B8" s="10" t="inlineStr">
        <is>
          <t>OPS Assessment</t>
        </is>
      </c>
      <c r="C8" s="10" t="inlineStr">
        <is>
          <t>$997</t>
        </is>
      </c>
      <c r="D8" s="10" t="inlineStr">
        <is>
          <t>Gateway diagnostic before proposal or retainer</t>
        </is>
      </c>
      <c r="E8" s="10" t="inlineStr">
        <is>
          <t>Do not skip diagnostic and blind-scope a retainer.</t>
        </is>
      </c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11" t="inlineStr">
        <is>
          <t>Specific process gap; not ready for retainer</t>
        </is>
      </c>
      <c r="B9" s="11" t="inlineStr">
        <is>
          <t>SOP Sprint</t>
        </is>
      </c>
      <c r="C9" s="11" t="inlineStr">
        <is>
          <t>$2,000</t>
        </is>
      </c>
      <c r="D9" s="11" t="inlineStr">
        <is>
          <t>Documents 5 priority SOPs in 3-4 weeks</t>
        </is>
      </c>
      <c r="E9" s="11" t="inlineStr">
        <is>
          <t>Do not sell SOPs if no one will enforce them.</t>
        </is>
      </c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10" t="inlineStr">
        <is>
          <t>Specific workflow automation needed</t>
        </is>
      </c>
      <c r="B10" s="10" t="inlineStr">
        <is>
          <t>Automation Build Sprint</t>
        </is>
      </c>
      <c r="C10" s="10" t="inlineStr">
        <is>
          <t>$2,000</t>
        </is>
      </c>
      <c r="D10" s="10" t="inlineStr">
        <is>
          <t>Builds 2-3 workflows after scoping</t>
        </is>
      </c>
      <c r="E10" s="10" t="inlineStr">
        <is>
          <t>Do not automate unstable manual work.</t>
        </is>
      </c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11" t="inlineStr">
        <is>
          <t>Flying blind on numbers</t>
        </is>
      </c>
      <c r="B11" s="11" t="inlineStr">
        <is>
          <t>KPI Dashboard Build</t>
        </is>
      </c>
      <c r="C11" s="11" t="inlineStr">
        <is>
          <t>$2,000</t>
        </is>
      </c>
      <c r="D11" s="11" t="inlineStr">
        <is>
          <t>Creates operating visibility and weekly reporting</t>
        </is>
      </c>
      <c r="E11" s="11" t="inlineStr">
        <is>
          <t>Do not build dashboards from dirty inputs without caveats.</t>
        </is>
      </c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10" t="inlineStr">
        <is>
          <t>$2M-$4M, some staff, moderate pain</t>
        </is>
      </c>
      <c r="B12" s="10" t="inlineStr">
        <is>
          <t>Light Retainer</t>
        </is>
      </c>
      <c r="C12" s="10" t="inlineStr">
        <is>
          <t>$2,500/mo</t>
        </is>
      </c>
      <c r="D12" s="10" t="inlineStr">
        <is>
          <t>Weekly support and basic implementation</t>
        </is>
      </c>
      <c r="E12" s="10" t="inlineStr">
        <is>
          <t>Do not sell Active if affordability is strained.</t>
        </is>
      </c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11" t="inlineStr">
        <is>
          <t>$3M-$10M, 3+ triggers, implementation capacity</t>
        </is>
      </c>
      <c r="B13" s="11" t="inlineStr">
        <is>
          <t>Active Retainer</t>
        </is>
      </c>
      <c r="C13" s="11" t="inlineStr">
        <is>
          <t>$4,000/mo</t>
        </is>
      </c>
      <c r="D13" s="11" t="inlineStr">
        <is>
          <t>Core offer: job costing, cash flow, SOPs, dashboard, automation</t>
        </is>
      </c>
      <c r="E13" s="11" t="inlineStr">
        <is>
          <t>Do not discount. Scope down if needed.</t>
        </is>
      </c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$8M-$20M, management layer, active growth event</t>
        </is>
      </c>
      <c r="B14" s="2" t="inlineStr">
        <is>
          <t>Embedded Retainer</t>
        </is>
      </c>
      <c r="C14" s="2" t="inlineStr">
        <is>
          <t>$6,000/mo</t>
        </is>
      </c>
      <c r="D14" s="2" t="inlineStr">
        <is>
          <t>Deep integration and direct manager coaching</t>
        </is>
      </c>
      <c r="E14" s="2" t="inlineStr">
        <is>
          <t>Do not take if Chance capacity cannot support it.</t>
        </is>
      </c>
      <c r="F14" s="2" t="n"/>
      <c r="G14" s="2" t="n"/>
      <c r="H14" s="2" t="n"/>
      <c r="I14" s="2" t="n"/>
      <c r="J14" s="2" t="n"/>
      <c r="K14" s="2" t="n"/>
      <c r="L14" s="2" t="n"/>
      <c r="M14" s="2" t="n"/>
    </row>
  </sheetData>
  <pageMargins left="0.3" right="0.3" top="0.5" bottom="0.5" header="0.5" footer="0.5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C2410C"/>
    <outlinePr summaryBelow="1" summaryRight="1"/>
    <pageSetUpPr/>
  </sheetPr>
  <dimension ref="A1:M22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0" customWidth="1" min="4" max="4"/>
    <col width="34" customWidth="1" min="5" max="5"/>
  </cols>
  <sheetData>
    <row r="1">
      <c r="A1" s="1" t="inlineStr">
        <is>
          <t>framework/ops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Proposal ROI Snapshot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4" t="inlineStr">
        <is>
          <t>Conservative math for the proposal. Quote downside and conservative case before upside.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14" t="inlineStr">
        <is>
          <t>Annual revenue</t>
        </is>
      </c>
      <c r="B6" s="25" t="n">
        <v>6000000</v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14" t="inlineStr">
        <is>
          <t>Current gross margin %</t>
        </is>
      </c>
      <c r="B7" s="27" t="n">
        <v>0.34</v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14" t="inlineStr">
        <is>
          <t>Conservative GM target %</t>
        </is>
      </c>
      <c r="B8" s="27" t="n">
        <v>0.37</v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14" t="inlineStr">
        <is>
          <t>Implementation capture %</t>
        </is>
      </c>
      <c r="B9" s="27" t="n">
        <v>0.65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14" t="inlineStr">
        <is>
          <t>Retainer / month</t>
        </is>
      </c>
      <c r="B10" s="25" t="n">
        <v>4000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14" t="inlineStr">
        <is>
          <t>Term months</t>
        </is>
      </c>
      <c r="B11" s="15" t="n">
        <v>6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14" t="inlineStr">
        <is>
          <t>Owner hours recovered / week</t>
        </is>
      </c>
      <c r="B12" s="15" t="n">
        <v>5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14" t="inlineStr">
        <is>
          <t>Owner strategic hour value</t>
        </is>
      </c>
      <c r="B13" s="25" t="n">
        <v>125</v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14" t="inlineStr">
        <is>
          <t>Avoided borrowing / admin savings</t>
        </is>
      </c>
      <c r="B14" s="25" t="n">
        <v>6000</v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n"/>
      <c r="B16" s="2" t="n"/>
      <c r="C16" s="2" t="n"/>
      <c r="D16" s="20" t="inlineStr">
        <is>
          <t>Gross margin gap value</t>
        </is>
      </c>
      <c r="E16" s="26">
        <f>B6*(B8-B7)</f>
        <v/>
      </c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0" t="inlineStr">
        <is>
          <t>Captured GM value</t>
        </is>
      </c>
      <c r="E17" s="26">
        <f>B16*B9</f>
        <v/>
      </c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0" t="inlineStr">
        <is>
          <t>Owner time value</t>
        </is>
      </c>
      <c r="E18" s="26">
        <f>B12*52*B13</f>
        <v/>
      </c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n"/>
      <c r="D19" s="20" t="inlineStr">
        <is>
          <t>Total conservative value</t>
        </is>
      </c>
      <c r="E19" s="26">
        <f>B17+B18+B14</f>
        <v/>
      </c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n"/>
      <c r="B20" s="2" t="n"/>
      <c r="C20" s="2" t="n"/>
      <c r="D20" s="20" t="inlineStr">
        <is>
          <t>Engagement cost</t>
        </is>
      </c>
      <c r="E20" s="26">
        <f>B10*B11</f>
        <v/>
      </c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n"/>
      <c r="C21" s="2" t="n"/>
      <c r="D21" s="20" t="inlineStr">
        <is>
          <t>Payback multiple</t>
        </is>
      </c>
      <c r="E21" s="24">
        <f>IF(B20=0,"",B19/B20)</f>
        <v/>
      </c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n"/>
      <c r="B22" s="2" t="n"/>
      <c r="C22" s="2" t="n"/>
      <c r="D22" s="20" t="inlineStr">
        <is>
          <t>Affordability flag</t>
        </is>
      </c>
      <c r="E22" s="23">
        <f>IF(B10&gt;(((B6*0.1)/12)*0.15),"Budget risk if net profit is 10%","Likely affordable if net profit is 10%")</f>
        <v/>
      </c>
      <c r="F22" s="2" t="n"/>
      <c r="G22" s="2" t="n"/>
      <c r="H22" s="2" t="n"/>
      <c r="I22" s="2" t="n"/>
      <c r="J22" s="2" t="n"/>
      <c r="K22" s="2" t="n"/>
      <c r="L22" s="2" t="n"/>
      <c r="M22" s="2" t="n"/>
    </row>
  </sheetData>
  <pageMargins left="0.3" right="0.3" top="0.5" bottom="0.5" header="0.5" footer="0.5"/>
  <pageSetup orientation="landscape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4A5868"/>
    <outlinePr summaryBelow="1" summaryRight="1"/>
    <pageSetUpPr/>
  </sheetPr>
  <dimension ref="A1:M13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8" customWidth="1" min="3" max="3"/>
    <col width="48" customWidth="1" min="4" max="4"/>
    <col width="32" customWidth="1" min="5" max="5"/>
  </cols>
  <sheetData>
    <row r="1">
      <c r="A1" s="1" t="inlineStr">
        <is>
          <t>framework/ops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Follow-Up Cadence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4" t="inlineStr">
        <is>
          <t>Simple follow-up rules. Most prospects should be routed to OPS Assessment, not retainer pitch.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 s="9" t="inlineStr">
        <is>
          <t>Moment</t>
        </is>
      </c>
      <c r="B5" s="9" t="inlineStr">
        <is>
          <t>Timing</t>
        </is>
      </c>
      <c r="C5" s="9" t="inlineStr">
        <is>
          <t>Channel</t>
        </is>
      </c>
      <c r="D5" s="9" t="inlineStr">
        <is>
          <t>Message job</t>
        </is>
      </c>
      <c r="E5" s="9" t="inlineStr">
        <is>
          <t>CTA</t>
        </is>
      </c>
      <c r="F5" s="9" t="n"/>
      <c r="G5" s="9" t="n"/>
      <c r="H5" s="9" t="n"/>
      <c r="I5" s="9" t="n"/>
      <c r="J5" s="9" t="n"/>
      <c r="K5" s="9" t="n"/>
      <c r="L5" s="9" t="n"/>
      <c r="M5" s="9" t="n"/>
    </row>
    <row r="6">
      <c r="A6" s="10" t="inlineStr">
        <is>
          <t>Connection accepted</t>
        </is>
      </c>
      <c r="B6" s="10" t="inlineStr">
        <is>
          <t>Same day</t>
        </is>
      </c>
      <c r="C6" s="10" t="inlineStr">
        <is>
          <t>LinkedIn</t>
        </is>
      </c>
      <c r="D6" s="10" t="inlineStr">
        <is>
          <t>Acknowledge operator context; no pitch</t>
        </is>
      </c>
      <c r="E6" s="10" t="inlineStr">
        <is>
          <t>Ask one light ops question</t>
        </is>
      </c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11" t="inlineStr">
        <is>
          <t>Discovery booked</t>
        </is>
      </c>
      <c r="B7" s="11" t="inlineStr">
        <is>
          <t>Within 24h</t>
        </is>
      </c>
      <c r="C7" s="11" t="inlineStr">
        <is>
          <t>Email</t>
        </is>
      </c>
      <c r="D7" s="11" t="inlineStr">
        <is>
          <t>Confirm call and ask for revenue/employee range</t>
        </is>
      </c>
      <c r="E7" s="11" t="inlineStr">
        <is>
          <t>Complete pre-call prep</t>
        </is>
      </c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10" t="inlineStr">
        <is>
          <t>Discovery completed - Go</t>
        </is>
      </c>
      <c r="B8" s="10" t="inlineStr">
        <is>
          <t>Same day</t>
        </is>
      </c>
      <c r="C8" s="10" t="inlineStr">
        <is>
          <t>Email</t>
        </is>
      </c>
      <c r="D8" s="10" t="inlineStr">
        <is>
          <t>Recap pain, confirm next step</t>
        </is>
      </c>
      <c r="E8" s="10" t="inlineStr">
        <is>
          <t>Send OPS Assessment link/invoice</t>
        </is>
      </c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11" t="inlineStr">
        <is>
          <t>Intake not returned</t>
        </is>
      </c>
      <c r="B9" s="11" t="inlineStr">
        <is>
          <t>2 business days</t>
        </is>
      </c>
      <c r="C9" s="11" t="inlineStr">
        <is>
          <t>Email/SMS</t>
        </is>
      </c>
      <c r="D9" s="11" t="inlineStr">
        <is>
          <t>Remove friction and restate why intake matters</t>
        </is>
      </c>
      <c r="E9" s="11" t="inlineStr">
        <is>
          <t>Return intake by date</t>
        </is>
      </c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10" t="inlineStr">
        <is>
          <t>OPS Assessment delivered</t>
        </is>
      </c>
      <c r="B10" s="10" t="inlineStr">
        <is>
          <t>Same day</t>
        </is>
      </c>
      <c r="C10" s="10" t="inlineStr">
        <is>
          <t>Live call + PDF</t>
        </is>
      </c>
      <c r="D10" s="10" t="inlineStr">
        <is>
          <t>Walk through findings and 90-day priorities</t>
        </is>
      </c>
      <c r="E10" s="10" t="inlineStr">
        <is>
          <t>Confirm proposal path</t>
        </is>
      </c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11" t="inlineStr">
        <is>
          <t>Proposal sent</t>
        </is>
      </c>
      <c r="B11" s="11" t="inlineStr">
        <is>
          <t>Live walkthrough only</t>
        </is>
      </c>
      <c r="C11" s="11" t="inlineStr">
        <is>
          <t>Call</t>
        </is>
      </c>
      <c r="D11" s="11" t="inlineStr">
        <is>
          <t>Review one recommendation, investment, ROI, next step</t>
        </is>
      </c>
      <c r="E11" s="11" t="inlineStr">
        <is>
          <t>Sign/pay within 7 days</t>
        </is>
      </c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10" t="inlineStr">
        <is>
          <t>No decision after proposal</t>
        </is>
      </c>
      <c r="B12" s="10" t="inlineStr">
        <is>
          <t>Day 3 and Day 7</t>
        </is>
      </c>
      <c r="C12" s="10" t="inlineStr">
        <is>
          <t>Email</t>
        </is>
      </c>
      <c r="D12" s="10" t="inlineStr">
        <is>
          <t>Clarify decision deadline and answer blockers</t>
        </is>
      </c>
      <c r="E12" s="10" t="inlineStr">
        <is>
          <t>Yes/no decision</t>
        </is>
      </c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inlineStr">
        <is>
          <t>Lost but fit</t>
        </is>
      </c>
      <c r="B13" s="2" t="inlineStr">
        <is>
          <t>Monthly for 6 months</t>
        </is>
      </c>
      <c r="C13" s="2" t="inlineStr">
        <is>
          <t>LinkedIn/email</t>
        </is>
      </c>
      <c r="D13" s="2" t="inlineStr">
        <is>
          <t>Send useful benchmark or ops note</t>
        </is>
      </c>
      <c r="E13" s="2" t="inlineStr">
        <is>
          <t>Stay warm without chasing</t>
        </is>
      </c>
      <c r="F13" s="2" t="n"/>
      <c r="G13" s="2" t="n"/>
      <c r="H13" s="2" t="n"/>
      <c r="I13" s="2" t="n"/>
      <c r="J13" s="2" t="n"/>
      <c r="K13" s="2" t="n"/>
      <c r="L13" s="2" t="n"/>
      <c r="M13" s="2" t="n"/>
    </row>
  </sheetData>
  <pageMargins left="0.3" right="0.3" top="0.5" bottom="0.5" header="0.5" footer="0.5"/>
  <pageSetup orientation="landscape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8893A1"/>
    <outlinePr summaryBelow="1" summaryRight="1"/>
    <pageSetUpPr/>
  </sheetPr>
  <dimension ref="A1:M29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44" customWidth="1" min="3" max="3"/>
  </cols>
  <sheetData>
    <row r="1">
      <c r="A1" s="1" t="inlineStr">
        <is>
          <t>framework/ops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Lookups and Guardrails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4" t="inlineStr">
        <is>
          <t>Source-of-truth options used across the workbook.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 s="9" t="inlineStr">
        <is>
          <t>Category</t>
        </is>
      </c>
      <c r="B5" s="9" t="inlineStr">
        <is>
          <t>Value</t>
        </is>
      </c>
      <c r="C5" s="9" t="inlineStr">
        <is>
          <t>Notes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</row>
    <row r="6">
      <c r="A6" s="10" t="inlineStr">
        <is>
          <t>Pipeline stage</t>
        </is>
      </c>
      <c r="B6" s="10" t="inlineStr">
        <is>
          <t>Identified</t>
        </is>
      </c>
      <c r="C6" s="10" t="inlineStr">
        <is>
          <t>Use in Pipeline Tracker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11" t="inlineStr">
        <is>
          <t>Pipeline stage</t>
        </is>
      </c>
      <c r="B7" s="11" t="inlineStr">
        <is>
          <t>Connection Sent</t>
        </is>
      </c>
      <c r="C7" s="11" t="inlineStr">
        <is>
          <t>Use in Pipeline Tracker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10" t="inlineStr">
        <is>
          <t>Pipeline stage</t>
        </is>
      </c>
      <c r="B8" s="10" t="inlineStr">
        <is>
          <t>Connected</t>
        </is>
      </c>
      <c r="C8" s="10" t="inlineStr">
        <is>
          <t>Use in Pipeline Tracker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11" t="inlineStr">
        <is>
          <t>Pipeline stage</t>
        </is>
      </c>
      <c r="B9" s="11" t="inlineStr">
        <is>
          <t>Discovery Booked</t>
        </is>
      </c>
      <c r="C9" s="11" t="inlineStr">
        <is>
          <t>Use in Pipeline Tracker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10" t="inlineStr">
        <is>
          <t>Pipeline stage</t>
        </is>
      </c>
      <c r="B10" s="10" t="inlineStr">
        <is>
          <t>Intake Sent</t>
        </is>
      </c>
      <c r="C10" s="10" t="inlineStr">
        <is>
          <t>Use in Pipeline Tracker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11" t="inlineStr">
        <is>
          <t>Pipeline stage</t>
        </is>
      </c>
      <c r="B11" s="11" t="inlineStr">
        <is>
          <t>OPS Assessment</t>
        </is>
      </c>
      <c r="C11" s="11" t="inlineStr">
        <is>
          <t>Use in Pipeline Tracker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10" t="inlineStr">
        <is>
          <t>Pipeline stage</t>
        </is>
      </c>
      <c r="B12" s="10" t="inlineStr">
        <is>
          <t>Proposal Sent</t>
        </is>
      </c>
      <c r="C12" s="10" t="inlineStr">
        <is>
          <t>Use in Pipeline Tracker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11" t="inlineStr">
        <is>
          <t>Pipeline stage</t>
        </is>
      </c>
      <c r="B13" s="11" t="inlineStr">
        <is>
          <t>Closed Won</t>
        </is>
      </c>
      <c r="C13" s="11" t="inlineStr">
        <is>
          <t>Use in Pipeline Tracker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10" t="inlineStr">
        <is>
          <t>Pipeline stage</t>
        </is>
      </c>
      <c r="B14" s="10" t="inlineStr">
        <is>
          <t>Closed Lost</t>
        </is>
      </c>
      <c r="C14" s="10" t="inlineStr">
        <is>
          <t>Use in Pipeline Tracker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11" t="inlineStr">
        <is>
          <t>Pipeline stage</t>
        </is>
      </c>
      <c r="B15" s="11" t="inlineStr">
        <is>
          <t>Nurture</t>
        </is>
      </c>
      <c r="C15" s="11" t="inlineStr">
        <is>
          <t>Use in Pipeline Tracker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10" t="inlineStr">
        <is>
          <t>Fit flag</t>
        </is>
      </c>
      <c r="B16" s="10" t="inlineStr">
        <is>
          <t>Go</t>
        </is>
      </c>
      <c r="C16" s="10" t="inlineStr">
        <is>
          <t>Plain English status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11" t="inlineStr">
        <is>
          <t>Fit flag</t>
        </is>
      </c>
      <c r="B17" s="11" t="inlineStr">
        <is>
          <t>Wait</t>
        </is>
      </c>
      <c r="C17" s="11" t="inlineStr">
        <is>
          <t>Plain English status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10" t="inlineStr">
        <is>
          <t>Fit flag</t>
        </is>
      </c>
      <c r="B18" s="10" t="inlineStr">
        <is>
          <t>No-Go</t>
        </is>
      </c>
      <c r="C18" s="10" t="inlineStr">
        <is>
          <t>Plain English status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11" t="inlineStr">
        <is>
          <t>Fit flag</t>
        </is>
      </c>
      <c r="B19" s="11" t="inlineStr">
        <is>
          <t>Unknown</t>
        </is>
      </c>
      <c r="C19" s="11" t="inlineStr">
        <is>
          <t>Plain English status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10" t="inlineStr">
        <is>
          <t>Offer</t>
        </is>
      </c>
      <c r="B20" s="10" t="inlineStr">
        <is>
          <t>AI Readiness Assessment</t>
        </is>
      </c>
      <c r="C20" s="10" t="inlineStr">
        <is>
          <t>Entry - $297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11" t="inlineStr">
        <is>
          <t>Offer</t>
        </is>
      </c>
      <c r="B21" s="11" t="inlineStr">
        <is>
          <t>Tech Stack Audit</t>
        </is>
      </c>
      <c r="C21" s="11" t="inlineStr">
        <is>
          <t>Entry - $497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10" t="inlineStr">
        <is>
          <t>Offer</t>
        </is>
      </c>
      <c r="B22" s="10" t="inlineStr">
        <is>
          <t>OPS Assessment</t>
        </is>
      </c>
      <c r="C22" s="10" t="inlineStr">
        <is>
          <t>Gateway - $997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11" t="inlineStr">
        <is>
          <t>Offer</t>
        </is>
      </c>
      <c r="B23" s="11" t="inlineStr">
        <is>
          <t>SOP Sprint</t>
        </is>
      </c>
      <c r="C23" s="11" t="inlineStr">
        <is>
          <t>Sprint - $2,000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10" t="inlineStr">
        <is>
          <t>Offer</t>
        </is>
      </c>
      <c r="B24" s="10" t="inlineStr">
        <is>
          <t>Automation Build Sprint</t>
        </is>
      </c>
      <c r="C24" s="10" t="inlineStr">
        <is>
          <t>Sprint - $2,000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11" t="inlineStr">
        <is>
          <t>Offer</t>
        </is>
      </c>
      <c r="B25" s="11" t="inlineStr">
        <is>
          <t>KPI Dashboard Build</t>
        </is>
      </c>
      <c r="C25" s="11" t="inlineStr">
        <is>
          <t>Sprint - $2,000</t>
        </is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10" t="inlineStr">
        <is>
          <t>Offer</t>
        </is>
      </c>
      <c r="B26" s="10" t="inlineStr">
        <is>
          <t>Advisory</t>
        </is>
      </c>
      <c r="C26" s="10" t="inlineStr">
        <is>
          <t>Retainer - $1,500/mo</t>
        </is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11" t="inlineStr">
        <is>
          <t>Offer</t>
        </is>
      </c>
      <c r="B27" s="11" t="inlineStr">
        <is>
          <t>Light</t>
        </is>
      </c>
      <c r="C27" s="11" t="inlineStr">
        <is>
          <t>Retainer - $2,500/mo</t>
        </is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10" t="inlineStr">
        <is>
          <t>Offer</t>
        </is>
      </c>
      <c r="B28" s="10" t="inlineStr">
        <is>
          <t>Active</t>
        </is>
      </c>
      <c r="C28" s="10" t="inlineStr">
        <is>
          <t>Retainer - $4,000/mo</t>
        </is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Offer</t>
        </is>
      </c>
      <c r="B29" s="2" t="inlineStr">
        <is>
          <t>Embedded</t>
        </is>
      </c>
      <c r="C29" s="2" t="inlineStr">
        <is>
          <t>Retainer - $6,000/mo</t>
        </is>
      </c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</sheetData>
  <pageMargins left="0.3" right="0.3" top="0.5" bottom="0.5" header="0.5" footer="0.5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2026-06-04T06:53:33Z</dcterms:created>
  <dcterms:modified xmlns:dcterms="http://purl.org/dc/terms/" xmlns:xsi="http://www.w3.org/2001/XMLSchema-instance" xsi:type="dcterms:W3CDTF">2026-06-04T06:56:25Z</dcterms:modified>
</cp:coreProperties>
</file>